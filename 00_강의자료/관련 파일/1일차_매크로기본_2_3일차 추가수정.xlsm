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drawings/drawing4.xml" ContentType="application/vnd.openxmlformats-officedocument.drawing+xml"/>
  <Override PartName="/xl/ctrlProps/ctrlProp4.xml" ContentType="application/vnd.ms-excel.controlproperties+xml"/>
  <Override PartName="/xl/drawings/drawing5.xml" ContentType="application/vnd.openxmlformats-officedocument.drawing+xml"/>
  <Override PartName="/xl/ctrlProps/ctrlProp5.xml" ContentType="application/vnd.ms-excel.controlproperties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ctrlProps/ctrlProp6.xml" ContentType="application/vnd.ms-excel.controlproperties+xml"/>
  <Override PartName="/xl/drawings/drawing9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drawings/drawing10.xml" ContentType="application/vnd.openxmlformats-officedocument.drawing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현재_통합_문서" checkCompatibility="1" defaultThemeVersion="124226"/>
  <bookViews>
    <workbookView xWindow="360" yWindow="36" windowWidth="15480" windowHeight="9672" tabRatio="953" firstSheet="12" activeTab="15"/>
  </bookViews>
  <sheets>
    <sheet name="매크로란_제목서식" sheetId="4" r:id="rId1"/>
    <sheet name="머리글바닥글정보표시" sheetId="13" r:id="rId2"/>
    <sheet name="수식셀보호" sheetId="14" r:id="rId3"/>
    <sheet name="수식셀보호_적용" sheetId="15" r:id="rId4"/>
    <sheet name="매크로_상대,절대참조" sheetId="12" r:id="rId5"/>
    <sheet name="두줄데이터를한줄로" sheetId="16" r:id="rId6"/>
    <sheet name="두줄데이터를한줄로 (2)" sheetId="19" r:id="rId7"/>
    <sheet name="두줄데이터를한줄로 (3)" sheetId="21" r:id="rId8"/>
    <sheet name="매크로활용" sheetId="8" r:id="rId9"/>
    <sheet name="자동필터_실적검색" sheetId="5" r:id="rId10"/>
    <sheet name="고급필터_실적검색" sheetId="7" r:id="rId11"/>
    <sheet name="고급필터_데이터베이스" sheetId="9" r:id="rId12"/>
    <sheet name="고급필터_검색_유효성검사" sheetId="10" r:id="rId13"/>
    <sheet name="주문목록" sheetId="2" r:id="rId14"/>
    <sheet name="자료목록" sheetId="3" r:id="rId15"/>
    <sheet name="부분합_VBA활용" sheetId="17" r:id="rId16"/>
  </sheets>
  <functionGroups builtInGroupCount="17"/>
  <definedNames>
    <definedName name="_xlnm._FilterDatabase" localSheetId="12" hidden="1">고급필터_검색_유효성검사!$A$4:$J$4</definedName>
    <definedName name="_xlnm._FilterDatabase" localSheetId="11" hidden="1">고급필터_데이터베이스!$A$2:$J$2</definedName>
    <definedName name="_xlnm._FilterDatabase" localSheetId="10" hidden="1">고급필터_실적검색!$B$9:$I$59</definedName>
    <definedName name="_xlnm._FilterDatabase" localSheetId="15" hidden="1">부분합_VBA활용!$B$8:$I$52</definedName>
    <definedName name="_xlnm._FilterDatabase" localSheetId="9" hidden="1">자동필터_실적검색!$B$9:$I$59</definedName>
    <definedName name="_xlnm._FilterDatabase" localSheetId="13" hidden="1">주문목록!$B$16:$J$289</definedName>
    <definedName name="_xlnm.Criteria" localSheetId="12">고급필터_검색_유효성검사!$I$4:$J$5</definedName>
    <definedName name="_xlnm.Criteria" localSheetId="11">고급필터_데이터베이스!$I$4:$J$5</definedName>
    <definedName name="_xlnm.Criteria" localSheetId="9">자동필터_실적검색!$K$3:$L$5</definedName>
    <definedName name="_xlnm.Criteria" localSheetId="13">주문목록!$B$12:$J$13</definedName>
    <definedName name="_xlnm.Extract" localSheetId="12">고급필터_검색_유효성검사!$A$4:$F$4</definedName>
  </definedNames>
  <calcPr calcId="144525"/>
</workbook>
</file>

<file path=xl/calcChain.xml><?xml version="1.0" encoding="utf-8"?>
<calcChain xmlns="http://schemas.openxmlformats.org/spreadsheetml/2006/main">
  <c r="H53" i="17" l="1"/>
  <c r="F53" i="17"/>
  <c r="H45" i="17"/>
  <c r="F45" i="17"/>
  <c r="H33" i="17"/>
  <c r="F33" i="17"/>
  <c r="H25" i="17"/>
  <c r="H54" i="17" s="1"/>
  <c r="F25" i="17"/>
  <c r="F54" i="17" s="1"/>
  <c r="H13" i="17"/>
  <c r="F13" i="17"/>
  <c r="H5" i="17"/>
  <c r="F73" i="9"/>
  <c r="F72" i="9"/>
  <c r="F71" i="9"/>
  <c r="F70" i="9"/>
  <c r="F69" i="9"/>
  <c r="F68" i="9"/>
  <c r="F67" i="9"/>
  <c r="F66" i="9"/>
  <c r="F65" i="9"/>
  <c r="F64" i="9"/>
  <c r="F63" i="9"/>
  <c r="F62" i="9"/>
  <c r="F61" i="9"/>
  <c r="F60" i="9"/>
  <c r="F59" i="9"/>
  <c r="F58" i="9"/>
  <c r="C22" i="21"/>
  <c r="C21" i="21"/>
  <c r="E21" i="21" s="1"/>
  <c r="E13" i="21" l="1"/>
  <c r="E9" i="21"/>
  <c r="E11" i="21"/>
  <c r="E15" i="21"/>
  <c r="E2" i="21"/>
  <c r="E17" i="21"/>
  <c r="E3" i="21"/>
  <c r="E19" i="21"/>
  <c r="E5" i="21"/>
  <c r="E7" i="21"/>
  <c r="H13" i="2"/>
  <c r="D13" i="2"/>
  <c r="C23" i="19"/>
  <c r="E22" i="19"/>
  <c r="C22" i="19"/>
  <c r="E20" i="19" s="1"/>
  <c r="E16" i="19"/>
  <c r="E14" i="19"/>
  <c r="E10" i="19"/>
  <c r="E8" i="19"/>
  <c r="E6" i="19"/>
  <c r="G38" i="17"/>
  <c r="I38" i="17" s="1"/>
  <c r="G51" i="17"/>
  <c r="I51" i="17" s="1"/>
  <c r="G11" i="17"/>
  <c r="I11" i="17" s="1"/>
  <c r="G23" i="17"/>
  <c r="I23" i="17" s="1"/>
  <c r="G37" i="17"/>
  <c r="I37" i="17" s="1"/>
  <c r="G52" i="17"/>
  <c r="G24" i="17"/>
  <c r="G41" i="17"/>
  <c r="I41" i="17" s="1"/>
  <c r="G22" i="17"/>
  <c r="I22" i="17" s="1"/>
  <c r="G10" i="17"/>
  <c r="I10" i="17" s="1"/>
  <c r="G44" i="17"/>
  <c r="I44" i="17" s="1"/>
  <c r="G40" i="17"/>
  <c r="I40" i="17" s="1"/>
  <c r="G27" i="17"/>
  <c r="I27" i="17" s="1"/>
  <c r="G15" i="17"/>
  <c r="I15" i="17" s="1"/>
  <c r="G47" i="17"/>
  <c r="I47" i="17" s="1"/>
  <c r="G36" i="17"/>
  <c r="I36" i="17" s="1"/>
  <c r="G50" i="17"/>
  <c r="I50" i="17" s="1"/>
  <c r="G30" i="17"/>
  <c r="I30" i="17" s="1"/>
  <c r="G16" i="17"/>
  <c r="G12" i="17"/>
  <c r="G14" i="17"/>
  <c r="G18" i="17"/>
  <c r="I18" i="17" s="1"/>
  <c r="G46" i="17"/>
  <c r="G48" i="17"/>
  <c r="G9" i="17"/>
  <c r="G32" i="17"/>
  <c r="G43" i="17"/>
  <c r="I43" i="17" s="1"/>
  <c r="G34" i="17"/>
  <c r="G21" i="17"/>
  <c r="I21" i="17" s="1"/>
  <c r="G17" i="17"/>
  <c r="G49" i="17"/>
  <c r="G39" i="17"/>
  <c r="G26" i="17"/>
  <c r="G42" i="17"/>
  <c r="G29" i="17"/>
  <c r="I29" i="17" s="1"/>
  <c r="G31" i="17"/>
  <c r="G20" i="17"/>
  <c r="I20" i="17" s="1"/>
  <c r="G19" i="17"/>
  <c r="G28" i="17"/>
  <c r="G35" i="17"/>
  <c r="D12" i="16"/>
  <c r="C12" i="16"/>
  <c r="E8" i="16" s="1"/>
  <c r="E13" i="15"/>
  <c r="E9" i="15"/>
  <c r="E7" i="15"/>
  <c r="E11" i="15" s="1"/>
  <c r="D13" i="14"/>
  <c r="D12" i="14"/>
  <c r="D10" i="14"/>
  <c r="D9" i="14"/>
  <c r="D7" i="14"/>
  <c r="C6" i="14"/>
  <c r="D6" i="14" s="1"/>
  <c r="B6" i="14"/>
  <c r="B8" i="14"/>
  <c r="D5" i="14"/>
  <c r="D4" i="14"/>
  <c r="B11" i="14"/>
  <c r="B14" i="14"/>
  <c r="F3" i="9"/>
  <c r="F4" i="9"/>
  <c r="F5" i="9"/>
  <c r="F6" i="9"/>
  <c r="F7" i="9"/>
  <c r="F8" i="9"/>
  <c r="F9" i="9"/>
  <c r="F10" i="9"/>
  <c r="F11" i="9"/>
  <c r="F12" i="9"/>
  <c r="F13" i="9"/>
  <c r="F14" i="9"/>
  <c r="F15" i="9"/>
  <c r="F16" i="9"/>
  <c r="F17" i="9"/>
  <c r="F18" i="9"/>
  <c r="F19" i="9"/>
  <c r="F20" i="9"/>
  <c r="F21" i="9"/>
  <c r="F22" i="9"/>
  <c r="F23" i="9"/>
  <c r="F24" i="9"/>
  <c r="F25" i="9"/>
  <c r="F26" i="9"/>
  <c r="F27" i="9"/>
  <c r="F28" i="9"/>
  <c r="F29" i="9"/>
  <c r="F30" i="9"/>
  <c r="F31" i="9"/>
  <c r="F32" i="9"/>
  <c r="F33" i="9"/>
  <c r="F34" i="9"/>
  <c r="F35" i="9"/>
  <c r="F36" i="9"/>
  <c r="F37" i="9"/>
  <c r="F38" i="9"/>
  <c r="F39" i="9"/>
  <c r="F40" i="9"/>
  <c r="F41" i="9"/>
  <c r="F42" i="9"/>
  <c r="F43" i="9"/>
  <c r="F44" i="9"/>
  <c r="F45" i="9"/>
  <c r="F46" i="9"/>
  <c r="F47" i="9"/>
  <c r="F48" i="9"/>
  <c r="F49" i="9"/>
  <c r="F50" i="9"/>
  <c r="F51" i="9"/>
  <c r="F52" i="9"/>
  <c r="F53" i="9"/>
  <c r="F54" i="9"/>
  <c r="F55" i="9"/>
  <c r="F56" i="9"/>
  <c r="F57" i="9"/>
  <c r="G3" i="8"/>
  <c r="F9" i="8"/>
  <c r="G6" i="8" s="1"/>
  <c r="C9" i="8"/>
  <c r="D9" i="8"/>
  <c r="E9" i="8"/>
  <c r="I10" i="7"/>
  <c r="I11" i="7"/>
  <c r="I12" i="7"/>
  <c r="I13" i="7"/>
  <c r="I14" i="7"/>
  <c r="I15" i="7"/>
  <c r="I16" i="7"/>
  <c r="I17" i="7"/>
  <c r="I18" i="7"/>
  <c r="I19" i="7"/>
  <c r="I20" i="7"/>
  <c r="I21" i="7"/>
  <c r="I22" i="7"/>
  <c r="I23" i="7"/>
  <c r="I24" i="7"/>
  <c r="I25" i="7"/>
  <c r="I26" i="7"/>
  <c r="I27" i="7"/>
  <c r="I28" i="7"/>
  <c r="I29" i="7"/>
  <c r="I30" i="7"/>
  <c r="I31" i="7"/>
  <c r="I32" i="7"/>
  <c r="I33" i="7"/>
  <c r="I34" i="7"/>
  <c r="I35" i="7"/>
  <c r="I36" i="7"/>
  <c r="I37" i="7"/>
  <c r="I38" i="7"/>
  <c r="I39" i="7"/>
  <c r="I40" i="7"/>
  <c r="I41" i="7"/>
  <c r="I42" i="7"/>
  <c r="I43" i="7"/>
  <c r="I44" i="7"/>
  <c r="I45" i="7"/>
  <c r="I46" i="7"/>
  <c r="I47" i="7"/>
  <c r="I48" i="7"/>
  <c r="I49" i="7"/>
  <c r="I50" i="7"/>
  <c r="I51" i="7"/>
  <c r="I52" i="7"/>
  <c r="I53" i="7"/>
  <c r="I54" i="7"/>
  <c r="I55" i="7"/>
  <c r="I56" i="7"/>
  <c r="I57" i="7"/>
  <c r="I58" i="7"/>
  <c r="I59" i="7"/>
  <c r="I10" i="5"/>
  <c r="I11" i="5"/>
  <c r="I12" i="5"/>
  <c r="I13" i="5"/>
  <c r="I14" i="5"/>
  <c r="I15" i="5"/>
  <c r="I16" i="5"/>
  <c r="I17" i="5"/>
  <c r="I18" i="5"/>
  <c r="I19" i="5"/>
  <c r="I20" i="5"/>
  <c r="I21" i="5"/>
  <c r="I22" i="5"/>
  <c r="I23" i="5"/>
  <c r="I24" i="5"/>
  <c r="I25" i="5"/>
  <c r="I26" i="5"/>
  <c r="I27" i="5"/>
  <c r="I28" i="5"/>
  <c r="I29" i="5"/>
  <c r="I30" i="5"/>
  <c r="I31" i="5"/>
  <c r="I32" i="5"/>
  <c r="I33" i="5"/>
  <c r="I34" i="5"/>
  <c r="I35" i="5"/>
  <c r="I36" i="5"/>
  <c r="I37" i="5"/>
  <c r="I38" i="5"/>
  <c r="I39" i="5"/>
  <c r="I40" i="5"/>
  <c r="I41" i="5"/>
  <c r="I42" i="5"/>
  <c r="I43" i="5"/>
  <c r="I44" i="5"/>
  <c r="I45" i="5"/>
  <c r="I46" i="5"/>
  <c r="I47" i="5"/>
  <c r="I48" i="5"/>
  <c r="I49" i="5"/>
  <c r="I50" i="5"/>
  <c r="I51" i="5"/>
  <c r="I52" i="5"/>
  <c r="I53" i="5"/>
  <c r="I54" i="5"/>
  <c r="I55" i="5"/>
  <c r="I56" i="5"/>
  <c r="I57" i="5"/>
  <c r="I58" i="5"/>
  <c r="I59" i="5"/>
  <c r="G53" i="17" l="1"/>
  <c r="G25" i="17"/>
  <c r="G54" i="17" s="1"/>
  <c r="G45" i="17"/>
  <c r="G33" i="17"/>
  <c r="G13" i="17"/>
  <c r="I52" i="17"/>
  <c r="I31" i="17"/>
  <c r="I34" i="17"/>
  <c r="I14" i="17"/>
  <c r="I25" i="17" s="1"/>
  <c r="I32" i="17"/>
  <c r="I26" i="17"/>
  <c r="I42" i="17"/>
  <c r="I35" i="17"/>
  <c r="I39" i="17"/>
  <c r="I48" i="17"/>
  <c r="I28" i="17"/>
  <c r="I49" i="17"/>
  <c r="I46" i="17"/>
  <c r="I53" i="17" s="1"/>
  <c r="I24" i="17"/>
  <c r="I19" i="17"/>
  <c r="I17" i="17"/>
  <c r="I12" i="17"/>
  <c r="I16" i="17"/>
  <c r="I9" i="17"/>
  <c r="G5" i="8"/>
  <c r="G7" i="8"/>
  <c r="G9" i="8"/>
  <c r="G8" i="8"/>
  <c r="E12" i="19"/>
  <c r="E2" i="19"/>
  <c r="E18" i="19"/>
  <c r="E4" i="19"/>
  <c r="E12" i="16"/>
  <c r="E11" i="16"/>
  <c r="E3" i="16"/>
  <c r="E7" i="16"/>
  <c r="E9" i="16"/>
  <c r="E6" i="16"/>
  <c r="E2" i="16"/>
  <c r="E4" i="16"/>
  <c r="E10" i="16"/>
  <c r="E5" i="16"/>
  <c r="C8" i="14"/>
  <c r="I13" i="17" l="1"/>
  <c r="I54" i="17" s="1"/>
  <c r="I45" i="17"/>
  <c r="I33" i="17"/>
  <c r="D8" i="14"/>
  <c r="C11" i="14"/>
  <c r="C14" i="14" l="1"/>
  <c r="D14" i="14" s="1"/>
  <c r="D11" i="14"/>
</calcChain>
</file>

<file path=xl/sharedStrings.xml><?xml version="1.0" encoding="utf-8"?>
<sst xmlns="http://schemas.openxmlformats.org/spreadsheetml/2006/main" count="2302" uniqueCount="747">
  <si>
    <t>고객</t>
  </si>
  <si>
    <t>직원</t>
  </si>
  <si>
    <t>수주일</t>
  </si>
  <si>
    <t>납기일</t>
  </si>
  <si>
    <t>선적일</t>
  </si>
  <si>
    <t>선적 구분</t>
  </si>
  <si>
    <t>운임</t>
  </si>
  <si>
    <t>해바라기 백화점 ㈜</t>
  </si>
  <si>
    <t>안정훈</t>
  </si>
  <si>
    <t>국제 특송 ㈜</t>
  </si>
  <si>
    <t>산타페 ㈜</t>
  </si>
  <si>
    <t>김찬진</t>
  </si>
  <si>
    <t>대륙 통운 ㈜</t>
  </si>
  <si>
    <t>최소라</t>
  </si>
  <si>
    <t>한일 특급 ㈜</t>
  </si>
  <si>
    <t>삼왕 통상 ㈜</t>
  </si>
  <si>
    <t>윤대현</t>
  </si>
  <si>
    <t>삼양 상사 ㈜</t>
  </si>
  <si>
    <t>한남 상사 ㈜</t>
  </si>
  <si>
    <t>유가을</t>
  </si>
  <si>
    <t>금화 유통 ㈜</t>
  </si>
  <si>
    <t>김소미</t>
  </si>
  <si>
    <t>삼선 무역 ㈜</t>
  </si>
  <si>
    <t>게이트웨이 통상 ㈜</t>
  </si>
  <si>
    <t>금강 ㈜</t>
  </si>
  <si>
    <t>선하라</t>
  </si>
  <si>
    <t>김덕훈</t>
  </si>
  <si>
    <t>이화 무역 ㈜</t>
  </si>
  <si>
    <t>신흥 교역 ㈜</t>
  </si>
  <si>
    <t>세일 상사 ㈜</t>
  </si>
  <si>
    <t>미성 백화점 ㈜</t>
  </si>
  <si>
    <t>한진 교역 ㈜</t>
  </si>
  <si>
    <t>신천지 통상 ㈜</t>
  </si>
  <si>
    <t>백조 백화점 ㈜</t>
  </si>
  <si>
    <t>크리스탈 교역 ㈜</t>
  </si>
  <si>
    <t>정문 상사 ㈜</t>
  </si>
  <si>
    <t>오영수</t>
  </si>
  <si>
    <t>국제 무역 ㈜</t>
  </si>
  <si>
    <t>언더우드 상사 ㈜</t>
  </si>
  <si>
    <t>한미 식품 ㈜</t>
  </si>
  <si>
    <t>우주 상사 ㈜</t>
  </si>
  <si>
    <t>신성 식품 ㈜</t>
  </si>
  <si>
    <t>동도 교역 ㈜</t>
  </si>
  <si>
    <t>알프스 무역 ㈜</t>
  </si>
  <si>
    <t>동신 상사 ㈜</t>
  </si>
  <si>
    <t>은성 상사 ㈜</t>
  </si>
  <si>
    <t>TGIF ㈜</t>
  </si>
  <si>
    <t>엘르 ㈜</t>
  </si>
  <si>
    <t>광성 교역 ㈜</t>
  </si>
  <si>
    <t>사하라 통상 ㈜</t>
  </si>
  <si>
    <t>프랑소아 백화점 ㈜</t>
  </si>
  <si>
    <t>태흥 무역 ㈜</t>
  </si>
  <si>
    <t>새롬 교역 ㈜</t>
  </si>
  <si>
    <t>동양 무역 ㈜</t>
  </si>
  <si>
    <t>스타 상사 ㈜</t>
  </si>
  <si>
    <t>캘리포니아 ㈜</t>
  </si>
  <si>
    <t>삼영 식품 ㈜</t>
  </si>
  <si>
    <t>미주 상사 ㈜</t>
  </si>
  <si>
    <t>몽블랑 백화점 ㈜</t>
  </si>
  <si>
    <t>대성 교역 ㈜</t>
  </si>
  <si>
    <t>세준 통상 ㈜</t>
  </si>
  <si>
    <t>수하인 주소</t>
  </si>
  <si>
    <t>도봉구 창 1동 218-16</t>
  </si>
  <si>
    <t>중구 원미 1동 120-16</t>
  </si>
  <si>
    <t>중구 답동 78</t>
  </si>
  <si>
    <t>용산구서빙고동 111-16</t>
  </si>
  <si>
    <t>서대문구 창천동 167-3</t>
  </si>
  <si>
    <t>부산진구 양정 1동 462-77</t>
  </si>
  <si>
    <t>서구 연희동 400-16</t>
  </si>
  <si>
    <t>도봉구 방학 3동 18</t>
  </si>
  <si>
    <t>남구 소사 3동 146</t>
  </si>
  <si>
    <t>중구 남산동 3가 43</t>
  </si>
  <si>
    <t>건입동 111-16</t>
  </si>
  <si>
    <t>구로구 오류 1동 101</t>
  </si>
  <si>
    <t>송파구 마천동 120</t>
  </si>
  <si>
    <t>덕진구 고랑동 290</t>
  </si>
  <si>
    <t>야탑동 77</t>
  </si>
  <si>
    <t>강정동 718-1</t>
  </si>
  <si>
    <t>도봉구 미아 7동 334-7</t>
  </si>
  <si>
    <t>비전 1동 118-36</t>
  </si>
  <si>
    <t>강서구 화곡 1동 77-3</t>
  </si>
  <si>
    <t>동대문구 신설동 721-11</t>
  </si>
  <si>
    <t>동대문구 전농1동 742-3</t>
  </si>
  <si>
    <t>금정구 청룡동 168-14</t>
  </si>
  <si>
    <t>은행동 425-12</t>
  </si>
  <si>
    <t>동작구 흑석 3동 140-3</t>
  </si>
  <si>
    <t>호계동 11</t>
  </si>
  <si>
    <t>강서구 오쇠동 124-7</t>
  </si>
  <si>
    <t>중구 정동 273-11</t>
  </si>
  <si>
    <t>서대문구 미근동 11-7</t>
  </si>
  <si>
    <t>종로구 송현동 87-14</t>
  </si>
  <si>
    <t>종로구 와룡동 336</t>
  </si>
  <si>
    <t>중구 광희동 1가 188-3</t>
  </si>
  <si>
    <t>권선구 세류 3동 116</t>
  </si>
  <si>
    <t>가학동 301</t>
  </si>
  <si>
    <t>종로구 송월동 101</t>
  </si>
  <si>
    <t>동구 신흥동 75-3</t>
  </si>
  <si>
    <t>용산구 동자동 181-7</t>
  </si>
  <si>
    <t>종로구 내자동 190-53</t>
  </si>
  <si>
    <t>태평 3동 120-1</t>
  </si>
  <si>
    <t>남동구 간석동 264-11</t>
  </si>
  <si>
    <t>서초구 방배본동 102-3</t>
  </si>
  <si>
    <t>구로구 가리봉 1동 22-1</t>
  </si>
  <si>
    <t>외삼미동 123-8</t>
  </si>
  <si>
    <t>0001</t>
    <phoneticPr fontId="4" type="noConversion"/>
  </si>
  <si>
    <t>0002</t>
  </si>
  <si>
    <t>0003</t>
  </si>
  <si>
    <t>0004</t>
  </si>
  <si>
    <t>0005</t>
  </si>
  <si>
    <t>0006</t>
  </si>
  <si>
    <t>0007</t>
  </si>
  <si>
    <t>0008</t>
  </si>
  <si>
    <t>0009</t>
  </si>
  <si>
    <t>0010</t>
  </si>
  <si>
    <t>0011</t>
  </si>
  <si>
    <t>0012</t>
  </si>
  <si>
    <t>0013</t>
  </si>
  <si>
    <t>0014</t>
  </si>
  <si>
    <t>0015</t>
  </si>
  <si>
    <t>0016</t>
  </si>
  <si>
    <t>0017</t>
  </si>
  <si>
    <t>0018</t>
  </si>
  <si>
    <t>0019</t>
  </si>
  <si>
    <t>0020</t>
  </si>
  <si>
    <t>0021</t>
  </si>
  <si>
    <t>0022</t>
  </si>
  <si>
    <t>0023</t>
  </si>
  <si>
    <t>0024</t>
  </si>
  <si>
    <t>0025</t>
  </si>
  <si>
    <t>0026</t>
  </si>
  <si>
    <t>0027</t>
  </si>
  <si>
    <t>0028</t>
  </si>
  <si>
    <t>0029</t>
  </si>
  <si>
    <t>0030</t>
  </si>
  <si>
    <t>0031</t>
  </si>
  <si>
    <t>0032</t>
  </si>
  <si>
    <t>0033</t>
  </si>
  <si>
    <t>0034</t>
  </si>
  <si>
    <t>0035</t>
  </si>
  <si>
    <t>0036</t>
  </si>
  <si>
    <t>0037</t>
  </si>
  <si>
    <t>0038</t>
  </si>
  <si>
    <t>0039</t>
  </si>
  <si>
    <t>0040</t>
  </si>
  <si>
    <t>0041</t>
  </si>
  <si>
    <t>0042</t>
  </si>
  <si>
    <t>0043</t>
  </si>
  <si>
    <t>0044</t>
  </si>
  <si>
    <t>0045</t>
  </si>
  <si>
    <t>0046</t>
  </si>
  <si>
    <t>0047</t>
  </si>
  <si>
    <t>0048</t>
  </si>
  <si>
    <t>0049</t>
  </si>
  <si>
    <t>0050</t>
  </si>
  <si>
    <t>0051</t>
  </si>
  <si>
    <t>0052</t>
  </si>
  <si>
    <t>0053</t>
  </si>
  <si>
    <t>0054</t>
  </si>
  <si>
    <t>0055</t>
  </si>
  <si>
    <t>0056</t>
  </si>
  <si>
    <t>0057</t>
  </si>
  <si>
    <t>0058</t>
  </si>
  <si>
    <t>0059</t>
  </si>
  <si>
    <t>0060</t>
  </si>
  <si>
    <t>0061</t>
  </si>
  <si>
    <t>0062</t>
  </si>
  <si>
    <t>0063</t>
  </si>
  <si>
    <t>0064</t>
  </si>
  <si>
    <t>0065</t>
  </si>
  <si>
    <t>0066</t>
  </si>
  <si>
    <t>0067</t>
  </si>
  <si>
    <t>0068</t>
  </si>
  <si>
    <t>0069</t>
  </si>
  <si>
    <t>0070</t>
  </si>
  <si>
    <t>0071</t>
  </si>
  <si>
    <t>0072</t>
  </si>
  <si>
    <t>0073</t>
  </si>
  <si>
    <t>0074</t>
  </si>
  <si>
    <t>0075</t>
  </si>
  <si>
    <t>0076</t>
  </si>
  <si>
    <t>0077</t>
  </si>
  <si>
    <t>0078</t>
  </si>
  <si>
    <t>0079</t>
  </si>
  <si>
    <t>0080</t>
  </si>
  <si>
    <t>0081</t>
  </si>
  <si>
    <t>0082</t>
  </si>
  <si>
    <t>0083</t>
  </si>
  <si>
    <t>0084</t>
  </si>
  <si>
    <t>0085</t>
  </si>
  <si>
    <t>0086</t>
  </si>
  <si>
    <t>0087</t>
  </si>
  <si>
    <t>0088</t>
  </si>
  <si>
    <t>0089</t>
  </si>
  <si>
    <t>0090</t>
  </si>
  <si>
    <t>0091</t>
  </si>
  <si>
    <t>0092</t>
  </si>
  <si>
    <t>0093</t>
  </si>
  <si>
    <t>0094</t>
  </si>
  <si>
    <t>0095</t>
  </si>
  <si>
    <t>0096</t>
  </si>
  <si>
    <t>0097</t>
  </si>
  <si>
    <t>0098</t>
  </si>
  <si>
    <t>0099</t>
  </si>
  <si>
    <t>0100</t>
  </si>
  <si>
    <t>0101</t>
  </si>
  <si>
    <t>0102</t>
  </si>
  <si>
    <t>0103</t>
  </si>
  <si>
    <t>0104</t>
  </si>
  <si>
    <t>0105</t>
  </si>
  <si>
    <t>0106</t>
  </si>
  <si>
    <t>0107</t>
  </si>
  <si>
    <t>0108</t>
  </si>
  <si>
    <t>0109</t>
  </si>
  <si>
    <t>0110</t>
  </si>
  <si>
    <t>0111</t>
  </si>
  <si>
    <t>0112</t>
  </si>
  <si>
    <t>0113</t>
  </si>
  <si>
    <t>0114</t>
  </si>
  <si>
    <t>0115</t>
  </si>
  <si>
    <t>0116</t>
  </si>
  <si>
    <t>0117</t>
  </si>
  <si>
    <t>0118</t>
  </si>
  <si>
    <t>0119</t>
  </si>
  <si>
    <t>0120</t>
  </si>
  <si>
    <t>0121</t>
  </si>
  <si>
    <t>0122</t>
  </si>
  <si>
    <t>0123</t>
  </si>
  <si>
    <t>0124</t>
  </si>
  <si>
    <t>0125</t>
  </si>
  <si>
    <t>0126</t>
  </si>
  <si>
    <t>0127</t>
  </si>
  <si>
    <t>0128</t>
  </si>
  <si>
    <t>0129</t>
  </si>
  <si>
    <t>0130</t>
  </si>
  <si>
    <t>0131</t>
  </si>
  <si>
    <t>0132</t>
  </si>
  <si>
    <t>0133</t>
  </si>
  <si>
    <t>0134</t>
  </si>
  <si>
    <t>0135</t>
  </si>
  <si>
    <t>0136</t>
  </si>
  <si>
    <t>0137</t>
  </si>
  <si>
    <t>0138</t>
  </si>
  <si>
    <t>0139</t>
  </si>
  <si>
    <t>0140</t>
  </si>
  <si>
    <t>0141</t>
  </si>
  <si>
    <t>0142</t>
  </si>
  <si>
    <t>0143</t>
  </si>
  <si>
    <t>0144</t>
  </si>
  <si>
    <t>0145</t>
  </si>
  <si>
    <t>0146</t>
  </si>
  <si>
    <t>0147</t>
  </si>
  <si>
    <t>0148</t>
  </si>
  <si>
    <t>0149</t>
  </si>
  <si>
    <t>0150</t>
  </si>
  <si>
    <t>0151</t>
  </si>
  <si>
    <t>0152</t>
  </si>
  <si>
    <t>0153</t>
  </si>
  <si>
    <t>0154</t>
  </si>
  <si>
    <t>0155</t>
  </si>
  <si>
    <t>0156</t>
  </si>
  <si>
    <t>0157</t>
  </si>
  <si>
    <t>0158</t>
  </si>
  <si>
    <t>0159</t>
  </si>
  <si>
    <t>0160</t>
  </si>
  <si>
    <t>0161</t>
  </si>
  <si>
    <t>0162</t>
  </si>
  <si>
    <t>0163</t>
  </si>
  <si>
    <t>0164</t>
  </si>
  <si>
    <t>0165</t>
  </si>
  <si>
    <t>0166</t>
  </si>
  <si>
    <t>0167</t>
  </si>
  <si>
    <t>0168</t>
  </si>
  <si>
    <t>0169</t>
  </si>
  <si>
    <t>0170</t>
  </si>
  <si>
    <t>0171</t>
  </si>
  <si>
    <t>0172</t>
  </si>
  <si>
    <t>0173</t>
  </si>
  <si>
    <t>0174</t>
  </si>
  <si>
    <t>0175</t>
  </si>
  <si>
    <t>0176</t>
  </si>
  <si>
    <t>0177</t>
  </si>
  <si>
    <t>0178</t>
  </si>
  <si>
    <t>0179</t>
  </si>
  <si>
    <t>0180</t>
  </si>
  <si>
    <t>0181</t>
  </si>
  <si>
    <t>0182</t>
  </si>
  <si>
    <t>0183</t>
  </si>
  <si>
    <t>0184</t>
  </si>
  <si>
    <t>0185</t>
  </si>
  <si>
    <t>0186</t>
  </si>
  <si>
    <t>0187</t>
  </si>
  <si>
    <t>0188</t>
  </si>
  <si>
    <t>0189</t>
  </si>
  <si>
    <t>0190</t>
  </si>
  <si>
    <t>0191</t>
  </si>
  <si>
    <t>0192</t>
  </si>
  <si>
    <t>0193</t>
  </si>
  <si>
    <t>0194</t>
  </si>
  <si>
    <t>0195</t>
  </si>
  <si>
    <t>0196</t>
  </si>
  <si>
    <t>0197</t>
  </si>
  <si>
    <t>0198</t>
  </si>
  <si>
    <t>0199</t>
  </si>
  <si>
    <t>0200</t>
  </si>
  <si>
    <t>0201</t>
  </si>
  <si>
    <t>0202</t>
  </si>
  <si>
    <t>0203</t>
  </si>
  <si>
    <t>0204</t>
  </si>
  <si>
    <t>0205</t>
  </si>
  <si>
    <t>0206</t>
  </si>
  <si>
    <t>0207</t>
  </si>
  <si>
    <t>0208</t>
  </si>
  <si>
    <t>0209</t>
  </si>
  <si>
    <t>0210</t>
  </si>
  <si>
    <t>0211</t>
  </si>
  <si>
    <t>0212</t>
  </si>
  <si>
    <t>0213</t>
  </si>
  <si>
    <t>0214</t>
  </si>
  <si>
    <t>0215</t>
  </si>
  <si>
    <t>0216</t>
  </si>
  <si>
    <t>0217</t>
  </si>
  <si>
    <t>0218</t>
  </si>
  <si>
    <t>0219</t>
  </si>
  <si>
    <t>0220</t>
  </si>
  <si>
    <t>0221</t>
  </si>
  <si>
    <t>0222</t>
  </si>
  <si>
    <t>0223</t>
  </si>
  <si>
    <t>0224</t>
  </si>
  <si>
    <t>0225</t>
  </si>
  <si>
    <t>0226</t>
  </si>
  <si>
    <t>0227</t>
  </si>
  <si>
    <t>0228</t>
  </si>
  <si>
    <t>0229</t>
  </si>
  <si>
    <t>0230</t>
  </si>
  <si>
    <t>0231</t>
  </si>
  <si>
    <t>0232</t>
  </si>
  <si>
    <t>0233</t>
  </si>
  <si>
    <t>0234</t>
  </si>
  <si>
    <t>0243</t>
  </si>
  <si>
    <t>0244</t>
  </si>
  <si>
    <t>0245</t>
  </si>
  <si>
    <t>0246</t>
  </si>
  <si>
    <t>0247</t>
  </si>
  <si>
    <t>0248</t>
  </si>
  <si>
    <t>0249</t>
  </si>
  <si>
    <t>0250</t>
  </si>
  <si>
    <t>0251</t>
  </si>
  <si>
    <t>0252</t>
  </si>
  <si>
    <t>0253</t>
  </si>
  <si>
    <t>0260</t>
  </si>
  <si>
    <t>0261</t>
  </si>
  <si>
    <t>0262</t>
  </si>
  <si>
    <t>0263</t>
  </si>
  <si>
    <t>0264</t>
  </si>
  <si>
    <t>0265</t>
  </si>
  <si>
    <t>0266</t>
  </si>
  <si>
    <t>0267</t>
  </si>
  <si>
    <t>0268</t>
  </si>
  <si>
    <t>0269</t>
  </si>
  <si>
    <t>0270</t>
  </si>
  <si>
    <t>0271</t>
  </si>
  <si>
    <t>0272</t>
  </si>
  <si>
    <t>0273</t>
  </si>
  <si>
    <t>0274</t>
  </si>
  <si>
    <t>0275</t>
  </si>
  <si>
    <t>0302</t>
  </si>
  <si>
    <t>0303</t>
  </si>
  <si>
    <t>0304</t>
  </si>
  <si>
    <t>0305</t>
  </si>
  <si>
    <t>0306</t>
  </si>
  <si>
    <t>0307</t>
  </si>
  <si>
    <t>0308</t>
  </si>
  <si>
    <t>0309</t>
  </si>
  <si>
    <t>0310</t>
  </si>
  <si>
    <t>0311</t>
  </si>
  <si>
    <t>0312</t>
  </si>
  <si>
    <t>0313</t>
  </si>
  <si>
    <t>주문번호</t>
    <phoneticPr fontId="4" type="noConversion"/>
  </si>
  <si>
    <t>【 조건 입력】</t>
    <phoneticPr fontId="4" type="noConversion"/>
  </si>
  <si>
    <t>★ 조회중인 주문횟수 :</t>
    <phoneticPr fontId="4" type="noConversion"/>
  </si>
  <si>
    <t>No.</t>
    <phoneticPr fontId="4" type="noConversion"/>
  </si>
  <si>
    <t>고객명 :</t>
    <phoneticPr fontId="4" type="noConversion"/>
  </si>
  <si>
    <t>직   원 :</t>
    <phoneticPr fontId="4" type="noConversion"/>
  </si>
  <si>
    <t>홍보부</t>
  </si>
  <si>
    <t>대리</t>
  </si>
  <si>
    <t>영업부</t>
  </si>
  <si>
    <t>차장</t>
  </si>
  <si>
    <t>기획실</t>
  </si>
  <si>
    <t>부장</t>
  </si>
  <si>
    <t>전산실</t>
  </si>
  <si>
    <t>총무부</t>
  </si>
  <si>
    <t>과장</t>
  </si>
  <si>
    <t>사원</t>
  </si>
  <si>
    <t>상반기</t>
    <phoneticPr fontId="4" type="noConversion"/>
  </si>
  <si>
    <t>하반기</t>
    <phoneticPr fontId="4" type="noConversion"/>
  </si>
  <si>
    <t>합계</t>
    <phoneticPr fontId="4" type="noConversion"/>
  </si>
  <si>
    <t>평균</t>
    <phoneticPr fontId="4" type="noConversion"/>
  </si>
  <si>
    <t>최고</t>
    <phoneticPr fontId="4" type="noConversion"/>
  </si>
  <si>
    <t>최저</t>
    <phoneticPr fontId="4" type="noConversion"/>
  </si>
  <si>
    <t>사번</t>
    <phoneticPr fontId="4" type="noConversion"/>
  </si>
  <si>
    <t>성명</t>
    <phoneticPr fontId="4" type="noConversion"/>
  </si>
  <si>
    <t>입사일</t>
    <phoneticPr fontId="4" type="noConversion"/>
  </si>
  <si>
    <t>부서</t>
    <phoneticPr fontId="4" type="noConversion"/>
  </si>
  <si>
    <t>직위</t>
    <phoneticPr fontId="4" type="noConversion"/>
  </si>
  <si>
    <t>YJ001</t>
    <phoneticPr fontId="4" type="noConversion"/>
  </si>
  <si>
    <t>유진하</t>
    <phoneticPr fontId="4" type="noConversion"/>
  </si>
  <si>
    <t>YJ002</t>
    <phoneticPr fontId="4" type="noConversion"/>
  </si>
  <si>
    <t>황의찬</t>
    <phoneticPr fontId="4" type="noConversion"/>
  </si>
  <si>
    <t>YJ003</t>
    <phoneticPr fontId="4" type="noConversion"/>
  </si>
  <si>
    <t>배한성</t>
    <phoneticPr fontId="4" type="noConversion"/>
  </si>
  <si>
    <t>YJ004</t>
    <phoneticPr fontId="4" type="noConversion"/>
  </si>
  <si>
    <t>김경민</t>
    <phoneticPr fontId="4" type="noConversion"/>
  </si>
  <si>
    <t>YJ005</t>
    <phoneticPr fontId="4" type="noConversion"/>
  </si>
  <si>
    <t>배태욱</t>
    <phoneticPr fontId="4" type="noConversion"/>
  </si>
  <si>
    <t>YJ006</t>
    <phoneticPr fontId="4" type="noConversion"/>
  </si>
  <si>
    <t>김순정</t>
    <phoneticPr fontId="4" type="noConversion"/>
  </si>
  <si>
    <t>YJ007</t>
    <phoneticPr fontId="4" type="noConversion"/>
  </si>
  <si>
    <t>강태평</t>
    <phoneticPr fontId="4" type="noConversion"/>
  </si>
  <si>
    <t>YJ008</t>
    <phoneticPr fontId="4" type="noConversion"/>
  </si>
  <si>
    <t>배철수</t>
    <phoneticPr fontId="4" type="noConversion"/>
  </si>
  <si>
    <t>YJ009</t>
    <phoneticPr fontId="4" type="noConversion"/>
  </si>
  <si>
    <t>은지원</t>
    <phoneticPr fontId="4" type="noConversion"/>
  </si>
  <si>
    <t>YJ010</t>
    <phoneticPr fontId="4" type="noConversion"/>
  </si>
  <si>
    <t>양희은</t>
    <phoneticPr fontId="4" type="noConversion"/>
  </si>
  <si>
    <t>YJ011</t>
    <phoneticPr fontId="4" type="noConversion"/>
  </si>
  <si>
    <t>은예영</t>
    <phoneticPr fontId="4" type="noConversion"/>
  </si>
  <si>
    <t>YJ012</t>
    <phoneticPr fontId="4" type="noConversion"/>
  </si>
  <si>
    <t>이솔희</t>
    <phoneticPr fontId="4" type="noConversion"/>
  </si>
  <si>
    <t>YJ013</t>
    <phoneticPr fontId="4" type="noConversion"/>
  </si>
  <si>
    <t>서만복</t>
    <phoneticPr fontId="4" type="noConversion"/>
  </si>
  <si>
    <t>YJ014</t>
    <phoneticPr fontId="4" type="noConversion"/>
  </si>
  <si>
    <t>이철희</t>
    <phoneticPr fontId="4" type="noConversion"/>
  </si>
  <si>
    <t>YJ015</t>
    <phoneticPr fontId="4" type="noConversion"/>
  </si>
  <si>
    <t>박은영</t>
    <phoneticPr fontId="4" type="noConversion"/>
  </si>
  <si>
    <t>YJ016</t>
    <phoneticPr fontId="4" type="noConversion"/>
  </si>
  <si>
    <t>엄희숙</t>
    <phoneticPr fontId="4" type="noConversion"/>
  </si>
  <si>
    <t>YJ017</t>
    <phoneticPr fontId="4" type="noConversion"/>
  </si>
  <si>
    <t>전성옥</t>
    <phoneticPr fontId="4" type="noConversion"/>
  </si>
  <si>
    <t>YJ018</t>
    <phoneticPr fontId="4" type="noConversion"/>
  </si>
  <si>
    <t>김석구</t>
    <phoneticPr fontId="4" type="noConversion"/>
  </si>
  <si>
    <t>YJ019</t>
    <phoneticPr fontId="4" type="noConversion"/>
  </si>
  <si>
    <t>안태희</t>
    <phoneticPr fontId="4" type="noConversion"/>
  </si>
  <si>
    <t>YJ020</t>
    <phoneticPr fontId="4" type="noConversion"/>
  </si>
  <si>
    <t>송도순</t>
    <phoneticPr fontId="4" type="noConversion"/>
  </si>
  <si>
    <t>YJ021</t>
    <phoneticPr fontId="4" type="noConversion"/>
  </si>
  <si>
    <t>김형식</t>
    <phoneticPr fontId="4" type="noConversion"/>
  </si>
  <si>
    <t>YJ022</t>
    <phoneticPr fontId="4" type="noConversion"/>
  </si>
  <si>
    <t>오태호</t>
    <phoneticPr fontId="4" type="noConversion"/>
  </si>
  <si>
    <t>YJ023</t>
    <phoneticPr fontId="4" type="noConversion"/>
  </si>
  <si>
    <t>최은지</t>
    <phoneticPr fontId="4" type="noConversion"/>
  </si>
  <si>
    <t>YJ024</t>
    <phoneticPr fontId="4" type="noConversion"/>
  </si>
  <si>
    <t>채연희</t>
    <phoneticPr fontId="4" type="noConversion"/>
  </si>
  <si>
    <t>YJ025</t>
    <phoneticPr fontId="4" type="noConversion"/>
  </si>
  <si>
    <t>황석영</t>
    <phoneticPr fontId="4" type="noConversion"/>
  </si>
  <si>
    <t>YJ026</t>
    <phoneticPr fontId="4" type="noConversion"/>
  </si>
  <si>
    <t>김정현</t>
    <phoneticPr fontId="4" type="noConversion"/>
  </si>
  <si>
    <t>전산실</t>
    <phoneticPr fontId="4" type="noConversion"/>
  </si>
  <si>
    <t>사원</t>
    <phoneticPr fontId="4" type="noConversion"/>
  </si>
  <si>
    <t>YJ027</t>
    <phoneticPr fontId="4" type="noConversion"/>
  </si>
  <si>
    <t>이주연</t>
    <phoneticPr fontId="4" type="noConversion"/>
  </si>
  <si>
    <t>영업부</t>
    <phoneticPr fontId="4" type="noConversion"/>
  </si>
  <si>
    <t>과장</t>
    <phoneticPr fontId="4" type="noConversion"/>
  </si>
  <si>
    <t>YJ028</t>
    <phoneticPr fontId="4" type="noConversion"/>
  </si>
  <si>
    <t>백소연</t>
    <phoneticPr fontId="4" type="noConversion"/>
  </si>
  <si>
    <t>대리</t>
    <phoneticPr fontId="4" type="noConversion"/>
  </si>
  <si>
    <t>YJ029</t>
    <phoneticPr fontId="4" type="noConversion"/>
  </si>
  <si>
    <t>안재욱</t>
    <phoneticPr fontId="4" type="noConversion"/>
  </si>
  <si>
    <t>홍보부</t>
    <phoneticPr fontId="4" type="noConversion"/>
  </si>
  <si>
    <t>YJ030</t>
    <phoneticPr fontId="4" type="noConversion"/>
  </si>
  <si>
    <t>강석구</t>
    <phoneticPr fontId="4" type="noConversion"/>
  </si>
  <si>
    <t>총무부</t>
    <phoneticPr fontId="4" type="noConversion"/>
  </si>
  <si>
    <t>YJ031</t>
    <phoneticPr fontId="4" type="noConversion"/>
  </si>
  <si>
    <t>김윤경</t>
    <phoneticPr fontId="4" type="noConversion"/>
  </si>
  <si>
    <t>기획실</t>
    <phoneticPr fontId="4" type="noConversion"/>
  </si>
  <si>
    <t>YJ032</t>
    <phoneticPr fontId="4" type="noConversion"/>
  </si>
  <si>
    <t>이미옥</t>
    <phoneticPr fontId="4" type="noConversion"/>
  </si>
  <si>
    <t>YJ033</t>
    <phoneticPr fontId="4" type="noConversion"/>
  </si>
  <si>
    <t>황인의</t>
    <phoneticPr fontId="4" type="noConversion"/>
  </si>
  <si>
    <t>차장</t>
    <phoneticPr fontId="4" type="noConversion"/>
  </si>
  <si>
    <t>YJ034</t>
    <phoneticPr fontId="4" type="noConversion"/>
  </si>
  <si>
    <t>유은영</t>
    <phoneticPr fontId="4" type="noConversion"/>
  </si>
  <si>
    <t>부장</t>
    <phoneticPr fontId="4" type="noConversion"/>
  </si>
  <si>
    <t>YJ035</t>
    <phoneticPr fontId="4" type="noConversion"/>
  </si>
  <si>
    <t>강실현</t>
    <phoneticPr fontId="4" type="noConversion"/>
  </si>
  <si>
    <t>YJ036</t>
    <phoneticPr fontId="4" type="noConversion"/>
  </si>
  <si>
    <t>박승제</t>
    <phoneticPr fontId="4" type="noConversion"/>
  </si>
  <si>
    <t>YJ037</t>
    <phoneticPr fontId="4" type="noConversion"/>
  </si>
  <si>
    <t>양고수</t>
    <phoneticPr fontId="4" type="noConversion"/>
  </si>
  <si>
    <t>YJ038</t>
    <phoneticPr fontId="4" type="noConversion"/>
  </si>
  <si>
    <t>장일호</t>
    <phoneticPr fontId="4" type="noConversion"/>
  </si>
  <si>
    <t>YJ039</t>
    <phoneticPr fontId="4" type="noConversion"/>
  </si>
  <si>
    <t>김성훈</t>
    <phoneticPr fontId="4" type="noConversion"/>
  </si>
  <si>
    <t>YJ040</t>
    <phoneticPr fontId="4" type="noConversion"/>
  </si>
  <si>
    <t>이화진</t>
    <phoneticPr fontId="4" type="noConversion"/>
  </si>
  <si>
    <t>YJ041</t>
    <phoneticPr fontId="4" type="noConversion"/>
  </si>
  <si>
    <t>정해인</t>
    <phoneticPr fontId="4" type="noConversion"/>
  </si>
  <si>
    <t>YJ042</t>
    <phoneticPr fontId="4" type="noConversion"/>
  </si>
  <si>
    <t>서은주</t>
    <phoneticPr fontId="4" type="noConversion"/>
  </si>
  <si>
    <t>YJ043</t>
    <phoneticPr fontId="4" type="noConversion"/>
  </si>
  <si>
    <t>민복현</t>
    <phoneticPr fontId="4" type="noConversion"/>
  </si>
  <si>
    <t>YJ044</t>
    <phoneticPr fontId="4" type="noConversion"/>
  </si>
  <si>
    <t>최성욱</t>
    <phoneticPr fontId="4" type="noConversion"/>
  </si>
  <si>
    <t>YJ045</t>
    <phoneticPr fontId="4" type="noConversion"/>
  </si>
  <si>
    <t>백태란</t>
    <phoneticPr fontId="4" type="noConversion"/>
  </si>
  <si>
    <t>YJ046</t>
    <phoneticPr fontId="4" type="noConversion"/>
  </si>
  <si>
    <t>박현숙</t>
    <phoneticPr fontId="4" type="noConversion"/>
  </si>
  <si>
    <t>YJ047</t>
    <phoneticPr fontId="4" type="noConversion"/>
  </si>
  <si>
    <t>김금옥</t>
    <phoneticPr fontId="4" type="noConversion"/>
  </si>
  <si>
    <t>YJ048</t>
    <phoneticPr fontId="4" type="noConversion"/>
  </si>
  <si>
    <t>이민환</t>
    <phoneticPr fontId="4" type="noConversion"/>
  </si>
  <si>
    <t>YJ049</t>
    <phoneticPr fontId="4" type="noConversion"/>
  </si>
  <si>
    <t>박출하</t>
    <phoneticPr fontId="4" type="noConversion"/>
  </si>
  <si>
    <t>YJ050</t>
    <phoneticPr fontId="4" type="noConversion"/>
  </si>
  <si>
    <t>박향옥</t>
    <phoneticPr fontId="4" type="noConversion"/>
  </si>
  <si>
    <t>상반기</t>
    <phoneticPr fontId="4" type="noConversion"/>
  </si>
  <si>
    <t>하반기</t>
    <phoneticPr fontId="4" type="noConversion"/>
  </si>
  <si>
    <t>합계</t>
    <phoneticPr fontId="4" type="noConversion"/>
  </si>
  <si>
    <t>사번</t>
    <phoneticPr fontId="4" type="noConversion"/>
  </si>
  <si>
    <t>성명</t>
    <phoneticPr fontId="4" type="noConversion"/>
  </si>
  <si>
    <t>입사일</t>
    <phoneticPr fontId="4" type="noConversion"/>
  </si>
  <si>
    <t>부서</t>
    <phoneticPr fontId="4" type="noConversion"/>
  </si>
  <si>
    <t>직위</t>
    <phoneticPr fontId="4" type="noConversion"/>
  </si>
  <si>
    <t>YJ001</t>
    <phoneticPr fontId="4" type="noConversion"/>
  </si>
  <si>
    <t>유진하</t>
    <phoneticPr fontId="4" type="noConversion"/>
  </si>
  <si>
    <t>YJ002</t>
    <phoneticPr fontId="4" type="noConversion"/>
  </si>
  <si>
    <t>황의찬</t>
    <phoneticPr fontId="4" type="noConversion"/>
  </si>
  <si>
    <t>YJ003</t>
    <phoneticPr fontId="4" type="noConversion"/>
  </si>
  <si>
    <t>배한성</t>
    <phoneticPr fontId="4" type="noConversion"/>
  </si>
  <si>
    <t>YJ004</t>
    <phoneticPr fontId="4" type="noConversion"/>
  </si>
  <si>
    <t>김경민</t>
    <phoneticPr fontId="4" type="noConversion"/>
  </si>
  <si>
    <t>YJ005</t>
    <phoneticPr fontId="4" type="noConversion"/>
  </si>
  <si>
    <t>배태욱</t>
    <phoneticPr fontId="4" type="noConversion"/>
  </si>
  <si>
    <t>YJ006</t>
    <phoneticPr fontId="4" type="noConversion"/>
  </si>
  <si>
    <t>김순정</t>
    <phoneticPr fontId="4" type="noConversion"/>
  </si>
  <si>
    <t>YJ007</t>
    <phoneticPr fontId="4" type="noConversion"/>
  </si>
  <si>
    <t>강태평</t>
    <phoneticPr fontId="4" type="noConversion"/>
  </si>
  <si>
    <t>YJ008</t>
    <phoneticPr fontId="4" type="noConversion"/>
  </si>
  <si>
    <t>배철수</t>
    <phoneticPr fontId="4" type="noConversion"/>
  </si>
  <si>
    <t>YJ009</t>
    <phoneticPr fontId="4" type="noConversion"/>
  </si>
  <si>
    <t>은지원</t>
    <phoneticPr fontId="4" type="noConversion"/>
  </si>
  <si>
    <t>YJ010</t>
    <phoneticPr fontId="4" type="noConversion"/>
  </si>
  <si>
    <t>양희은</t>
    <phoneticPr fontId="4" type="noConversion"/>
  </si>
  <si>
    <t>YJ011</t>
    <phoneticPr fontId="4" type="noConversion"/>
  </si>
  <si>
    <t>은예영</t>
    <phoneticPr fontId="4" type="noConversion"/>
  </si>
  <si>
    <t>YJ012</t>
    <phoneticPr fontId="4" type="noConversion"/>
  </si>
  <si>
    <t>이솔희</t>
    <phoneticPr fontId="4" type="noConversion"/>
  </si>
  <si>
    <t>YJ013</t>
    <phoneticPr fontId="4" type="noConversion"/>
  </si>
  <si>
    <t>서만복</t>
    <phoneticPr fontId="4" type="noConversion"/>
  </si>
  <si>
    <t>YJ014</t>
    <phoneticPr fontId="4" type="noConversion"/>
  </si>
  <si>
    <t>이철희</t>
    <phoneticPr fontId="4" type="noConversion"/>
  </si>
  <si>
    <t>YJ015</t>
    <phoneticPr fontId="4" type="noConversion"/>
  </si>
  <si>
    <t>박은영</t>
    <phoneticPr fontId="4" type="noConversion"/>
  </si>
  <si>
    <t>YJ016</t>
    <phoneticPr fontId="4" type="noConversion"/>
  </si>
  <si>
    <t>엄희숙</t>
    <phoneticPr fontId="4" type="noConversion"/>
  </si>
  <si>
    <t>YJ017</t>
    <phoneticPr fontId="4" type="noConversion"/>
  </si>
  <si>
    <t>전성옥</t>
    <phoneticPr fontId="4" type="noConversion"/>
  </si>
  <si>
    <t>YJ018</t>
    <phoneticPr fontId="4" type="noConversion"/>
  </si>
  <si>
    <t>김석구</t>
    <phoneticPr fontId="4" type="noConversion"/>
  </si>
  <si>
    <t>YJ019</t>
    <phoneticPr fontId="4" type="noConversion"/>
  </si>
  <si>
    <t>안태희</t>
    <phoneticPr fontId="4" type="noConversion"/>
  </si>
  <si>
    <t>YJ020</t>
    <phoneticPr fontId="4" type="noConversion"/>
  </si>
  <si>
    <t>송도순</t>
    <phoneticPr fontId="4" type="noConversion"/>
  </si>
  <si>
    <t>YJ021</t>
    <phoneticPr fontId="4" type="noConversion"/>
  </si>
  <si>
    <t>김형식</t>
    <phoneticPr fontId="4" type="noConversion"/>
  </si>
  <si>
    <t>YJ022</t>
    <phoneticPr fontId="4" type="noConversion"/>
  </si>
  <si>
    <t>오태호</t>
    <phoneticPr fontId="4" type="noConversion"/>
  </si>
  <si>
    <t>YJ023</t>
    <phoneticPr fontId="4" type="noConversion"/>
  </si>
  <si>
    <t>최은지</t>
    <phoneticPr fontId="4" type="noConversion"/>
  </si>
  <si>
    <t>YJ024</t>
    <phoneticPr fontId="4" type="noConversion"/>
  </si>
  <si>
    <t>채연희</t>
    <phoneticPr fontId="4" type="noConversion"/>
  </si>
  <si>
    <t>YJ025</t>
    <phoneticPr fontId="4" type="noConversion"/>
  </si>
  <si>
    <t>황석영</t>
    <phoneticPr fontId="4" type="noConversion"/>
  </si>
  <si>
    <t>YJ026</t>
    <phoneticPr fontId="4" type="noConversion"/>
  </si>
  <si>
    <t>김정현</t>
    <phoneticPr fontId="4" type="noConversion"/>
  </si>
  <si>
    <t>전산실</t>
    <phoneticPr fontId="4" type="noConversion"/>
  </si>
  <si>
    <t>사원</t>
    <phoneticPr fontId="4" type="noConversion"/>
  </si>
  <si>
    <t>YJ027</t>
    <phoneticPr fontId="4" type="noConversion"/>
  </si>
  <si>
    <t>이주연</t>
    <phoneticPr fontId="4" type="noConversion"/>
  </si>
  <si>
    <t>영업부</t>
    <phoneticPr fontId="4" type="noConversion"/>
  </si>
  <si>
    <t>과장</t>
    <phoneticPr fontId="4" type="noConversion"/>
  </si>
  <si>
    <t>YJ028</t>
    <phoneticPr fontId="4" type="noConversion"/>
  </si>
  <si>
    <t>백소연</t>
    <phoneticPr fontId="4" type="noConversion"/>
  </si>
  <si>
    <t>대리</t>
    <phoneticPr fontId="4" type="noConversion"/>
  </si>
  <si>
    <t>YJ029</t>
    <phoneticPr fontId="4" type="noConversion"/>
  </si>
  <si>
    <t>안재욱</t>
    <phoneticPr fontId="4" type="noConversion"/>
  </si>
  <si>
    <t>홍보부</t>
    <phoneticPr fontId="4" type="noConversion"/>
  </si>
  <si>
    <t>YJ030</t>
    <phoneticPr fontId="4" type="noConversion"/>
  </si>
  <si>
    <t>강석구</t>
    <phoneticPr fontId="4" type="noConversion"/>
  </si>
  <si>
    <t>총무부</t>
    <phoneticPr fontId="4" type="noConversion"/>
  </si>
  <si>
    <t>YJ031</t>
    <phoneticPr fontId="4" type="noConversion"/>
  </si>
  <si>
    <t>김윤경</t>
    <phoneticPr fontId="4" type="noConversion"/>
  </si>
  <si>
    <t>기획실</t>
    <phoneticPr fontId="4" type="noConversion"/>
  </si>
  <si>
    <t>YJ032</t>
    <phoneticPr fontId="4" type="noConversion"/>
  </si>
  <si>
    <t>이미옥</t>
    <phoneticPr fontId="4" type="noConversion"/>
  </si>
  <si>
    <t>YJ033</t>
    <phoneticPr fontId="4" type="noConversion"/>
  </si>
  <si>
    <t>황인의</t>
    <phoneticPr fontId="4" type="noConversion"/>
  </si>
  <si>
    <t>차장</t>
    <phoneticPr fontId="4" type="noConversion"/>
  </si>
  <si>
    <t>YJ034</t>
    <phoneticPr fontId="4" type="noConversion"/>
  </si>
  <si>
    <t>유은영</t>
    <phoneticPr fontId="4" type="noConversion"/>
  </si>
  <si>
    <t>부장</t>
    <phoneticPr fontId="4" type="noConversion"/>
  </si>
  <si>
    <t>YJ035</t>
    <phoneticPr fontId="4" type="noConversion"/>
  </si>
  <si>
    <t>강실현</t>
    <phoneticPr fontId="4" type="noConversion"/>
  </si>
  <si>
    <t>YJ036</t>
    <phoneticPr fontId="4" type="noConversion"/>
  </si>
  <si>
    <t>박승제</t>
    <phoneticPr fontId="4" type="noConversion"/>
  </si>
  <si>
    <t>YJ037</t>
    <phoneticPr fontId="4" type="noConversion"/>
  </si>
  <si>
    <t>양고수</t>
    <phoneticPr fontId="4" type="noConversion"/>
  </si>
  <si>
    <t>YJ038</t>
    <phoneticPr fontId="4" type="noConversion"/>
  </si>
  <si>
    <t>장일호</t>
    <phoneticPr fontId="4" type="noConversion"/>
  </si>
  <si>
    <t>YJ039</t>
    <phoneticPr fontId="4" type="noConversion"/>
  </si>
  <si>
    <t>김성훈</t>
    <phoneticPr fontId="4" type="noConversion"/>
  </si>
  <si>
    <t>YJ040</t>
    <phoneticPr fontId="4" type="noConversion"/>
  </si>
  <si>
    <t>이화진</t>
    <phoneticPr fontId="4" type="noConversion"/>
  </si>
  <si>
    <t>YJ041</t>
    <phoneticPr fontId="4" type="noConversion"/>
  </si>
  <si>
    <t>정해인</t>
    <phoneticPr fontId="4" type="noConversion"/>
  </si>
  <si>
    <t>YJ042</t>
    <phoneticPr fontId="4" type="noConversion"/>
  </si>
  <si>
    <t>서은주</t>
    <phoneticPr fontId="4" type="noConversion"/>
  </si>
  <si>
    <t>YJ043</t>
    <phoneticPr fontId="4" type="noConversion"/>
  </si>
  <si>
    <t>민복현</t>
    <phoneticPr fontId="4" type="noConversion"/>
  </si>
  <si>
    <t>YJ044</t>
    <phoneticPr fontId="4" type="noConversion"/>
  </si>
  <si>
    <t>최성욱</t>
    <phoneticPr fontId="4" type="noConversion"/>
  </si>
  <si>
    <t>YJ045</t>
    <phoneticPr fontId="4" type="noConversion"/>
  </si>
  <si>
    <t>백태란</t>
    <phoneticPr fontId="4" type="noConversion"/>
  </si>
  <si>
    <t>YJ046</t>
    <phoneticPr fontId="4" type="noConversion"/>
  </si>
  <si>
    <t>박현숙</t>
    <phoneticPr fontId="4" type="noConversion"/>
  </si>
  <si>
    <t>YJ047</t>
    <phoneticPr fontId="4" type="noConversion"/>
  </si>
  <si>
    <t>김금옥</t>
    <phoneticPr fontId="4" type="noConversion"/>
  </si>
  <si>
    <t>YJ048</t>
    <phoneticPr fontId="4" type="noConversion"/>
  </si>
  <si>
    <t>이민환</t>
    <phoneticPr fontId="4" type="noConversion"/>
  </si>
  <si>
    <t>YJ049</t>
    <phoneticPr fontId="4" type="noConversion"/>
  </si>
  <si>
    <t>박출하</t>
    <phoneticPr fontId="4" type="noConversion"/>
  </si>
  <si>
    <t>YJ050</t>
    <phoneticPr fontId="4" type="noConversion"/>
  </si>
  <si>
    <t>박향옥</t>
    <phoneticPr fontId="4" type="noConversion"/>
  </si>
  <si>
    <t>인구이동 통계표</t>
  </si>
  <si>
    <t>작성일자:</t>
  </si>
  <si>
    <t>동이름</t>
  </si>
  <si>
    <t>전월인구</t>
  </si>
  <si>
    <t>전입자수</t>
  </si>
  <si>
    <t>전출자수</t>
  </si>
  <si>
    <t>이달인구</t>
  </si>
  <si>
    <t>구성비</t>
  </si>
  <si>
    <t>여의도동</t>
  </si>
  <si>
    <t>대림동</t>
  </si>
  <si>
    <t>신길동</t>
  </si>
  <si>
    <t>당산동</t>
  </si>
  <si>
    <t>합계</t>
  </si>
  <si>
    <t>이달인구 현황</t>
  </si>
  <si>
    <t>주유소별 판매실적 관리</t>
  </si>
  <si>
    <t>판매일자</t>
  </si>
  <si>
    <t>주유소명</t>
  </si>
  <si>
    <t>제품명</t>
  </si>
  <si>
    <t>수량(ℓ)</t>
  </si>
  <si>
    <t>단가</t>
  </si>
  <si>
    <t>매출액</t>
  </si>
  <si>
    <t>부산주유소</t>
  </si>
  <si>
    <t>무연G</t>
  </si>
  <si>
    <t>울산주유소</t>
  </si>
  <si>
    <t>LDO</t>
  </si>
  <si>
    <t>서울주유소</t>
  </si>
  <si>
    <t>실내등유</t>
  </si>
  <si>
    <t>광주주유소</t>
  </si>
  <si>
    <t>보일러등유</t>
  </si>
  <si>
    <t>대구주유소</t>
  </si>
  <si>
    <t>대전주유소</t>
  </si>
  <si>
    <r>
      <rPr>
        <b/>
        <sz val="11"/>
        <color indexed="9"/>
        <rFont val="맑은 고딕"/>
        <family val="3"/>
        <charset val="129"/>
      </rPr>
      <t>구</t>
    </r>
    <r>
      <rPr>
        <sz val="11"/>
        <color indexed="9"/>
        <rFont val="Arial"/>
        <family val="2"/>
      </rPr>
      <t xml:space="preserve">  </t>
    </r>
    <r>
      <rPr>
        <sz val="11"/>
        <color indexed="9"/>
        <rFont val="맑은 고딕"/>
        <family val="3"/>
        <charset val="129"/>
      </rPr>
      <t>분</t>
    </r>
    <phoneticPr fontId="25" type="noConversion"/>
  </si>
  <si>
    <r>
      <t>2007</t>
    </r>
    <r>
      <rPr>
        <sz val="11"/>
        <color indexed="9"/>
        <rFont val="맑은 고딕"/>
        <family val="3"/>
        <charset val="129"/>
      </rPr>
      <t>년</t>
    </r>
    <phoneticPr fontId="25" type="noConversion"/>
  </si>
  <si>
    <r>
      <t>2006</t>
    </r>
    <r>
      <rPr>
        <sz val="11"/>
        <color indexed="9"/>
        <rFont val="맑은 고딕"/>
        <family val="3"/>
        <charset val="129"/>
      </rPr>
      <t>년</t>
    </r>
    <phoneticPr fontId="25" type="noConversion"/>
  </si>
  <si>
    <r>
      <rPr>
        <b/>
        <sz val="11"/>
        <color indexed="9"/>
        <rFont val="맑은 고딕"/>
        <family val="3"/>
        <charset val="129"/>
      </rPr>
      <t>증</t>
    </r>
    <r>
      <rPr>
        <sz val="11"/>
        <color indexed="9"/>
        <rFont val="Arial"/>
        <family val="2"/>
      </rPr>
      <t xml:space="preserve">  </t>
    </r>
    <r>
      <rPr>
        <sz val="11"/>
        <color indexed="9"/>
        <rFont val="맑은 고딕"/>
        <family val="3"/>
        <charset val="129"/>
      </rPr>
      <t>감</t>
    </r>
    <phoneticPr fontId="25" type="noConversion"/>
  </si>
  <si>
    <r>
      <rPr>
        <sz val="11"/>
        <rFont val="맑은 고딕"/>
        <family val="3"/>
        <charset val="129"/>
      </rPr>
      <t>매</t>
    </r>
    <r>
      <rPr>
        <sz val="11"/>
        <rFont val="Arial"/>
        <family val="2"/>
      </rPr>
      <t xml:space="preserve"> </t>
    </r>
    <r>
      <rPr>
        <sz val="11"/>
        <rFont val="맑은 고딕"/>
        <family val="3"/>
        <charset val="129"/>
      </rPr>
      <t>출</t>
    </r>
    <r>
      <rPr>
        <sz val="11"/>
        <rFont val="Arial"/>
        <family val="2"/>
      </rPr>
      <t xml:space="preserve"> </t>
    </r>
    <r>
      <rPr>
        <sz val="11"/>
        <rFont val="맑은 고딕"/>
        <family val="3"/>
        <charset val="129"/>
      </rPr>
      <t>액</t>
    </r>
    <phoneticPr fontId="20" type="noConversion"/>
  </si>
  <si>
    <r>
      <rPr>
        <sz val="11"/>
        <rFont val="맑은 고딕"/>
        <family val="3"/>
        <charset val="129"/>
      </rPr>
      <t>매출원가</t>
    </r>
    <phoneticPr fontId="20" type="noConversion"/>
  </si>
  <si>
    <r>
      <rPr>
        <sz val="11"/>
        <rFont val="맑은 고딕"/>
        <family val="3"/>
        <charset val="129"/>
      </rPr>
      <t>매출총이익</t>
    </r>
    <phoneticPr fontId="20" type="noConversion"/>
  </si>
  <si>
    <r>
      <rPr>
        <sz val="11"/>
        <rFont val="맑은 고딕"/>
        <family val="3"/>
        <charset val="129"/>
      </rPr>
      <t>판매비와</t>
    </r>
    <r>
      <rPr>
        <sz val="11"/>
        <rFont val="Arial"/>
        <family val="2"/>
      </rPr>
      <t xml:space="preserve"> </t>
    </r>
    <r>
      <rPr>
        <sz val="11"/>
        <rFont val="맑은 고딕"/>
        <family val="3"/>
        <charset val="129"/>
      </rPr>
      <t>관리비</t>
    </r>
    <phoneticPr fontId="20" type="noConversion"/>
  </si>
  <si>
    <r>
      <rPr>
        <sz val="11"/>
        <rFont val="맑은 고딕"/>
        <family val="3"/>
        <charset val="129"/>
      </rPr>
      <t>영업이익</t>
    </r>
    <phoneticPr fontId="20" type="noConversion"/>
  </si>
  <si>
    <r>
      <rPr>
        <sz val="11"/>
        <rFont val="맑은 고딕"/>
        <family val="3"/>
        <charset val="129"/>
      </rPr>
      <t>영업외</t>
    </r>
    <r>
      <rPr>
        <sz val="11"/>
        <rFont val="Arial"/>
        <family val="2"/>
      </rPr>
      <t xml:space="preserve"> </t>
    </r>
    <r>
      <rPr>
        <sz val="11"/>
        <rFont val="맑은 고딕"/>
        <family val="3"/>
        <charset val="129"/>
      </rPr>
      <t>수익</t>
    </r>
    <phoneticPr fontId="20" type="noConversion"/>
  </si>
  <si>
    <r>
      <rPr>
        <sz val="11"/>
        <rFont val="맑은 고딕"/>
        <family val="3"/>
        <charset val="129"/>
      </rPr>
      <t>영업외</t>
    </r>
    <r>
      <rPr>
        <sz val="11"/>
        <rFont val="Arial"/>
        <family val="2"/>
      </rPr>
      <t xml:space="preserve"> </t>
    </r>
    <r>
      <rPr>
        <sz val="11"/>
        <rFont val="맑은 고딕"/>
        <family val="3"/>
        <charset val="129"/>
      </rPr>
      <t>비용</t>
    </r>
    <phoneticPr fontId="20" type="noConversion"/>
  </si>
  <si>
    <r>
      <rPr>
        <sz val="11"/>
        <rFont val="맑은 고딕"/>
        <family val="3"/>
        <charset val="129"/>
      </rPr>
      <t>경상이익</t>
    </r>
    <phoneticPr fontId="20" type="noConversion"/>
  </si>
  <si>
    <r>
      <rPr>
        <sz val="11"/>
        <rFont val="맑은 고딕"/>
        <family val="3"/>
        <charset val="129"/>
      </rPr>
      <t>특별이익</t>
    </r>
    <phoneticPr fontId="20" type="noConversion"/>
  </si>
  <si>
    <r>
      <rPr>
        <sz val="11"/>
        <rFont val="맑은 고딕"/>
        <family val="3"/>
        <charset val="129"/>
      </rPr>
      <t>특별손실</t>
    </r>
    <phoneticPr fontId="20" type="noConversion"/>
  </si>
  <si>
    <r>
      <rPr>
        <sz val="11"/>
        <rFont val="맑은 고딕"/>
        <family val="3"/>
        <charset val="129"/>
      </rPr>
      <t>당기순이익</t>
    </r>
    <phoneticPr fontId="20" type="noConversion"/>
  </si>
  <si>
    <t>반지름의 길이는?</t>
    <phoneticPr fontId="20" type="noConversion"/>
  </si>
  <si>
    <t>높이는?</t>
    <phoneticPr fontId="20" type="noConversion"/>
  </si>
  <si>
    <t>바닥면적</t>
    <phoneticPr fontId="20" type="noConversion"/>
  </si>
  <si>
    <t>원뿔부분의 면적</t>
    <phoneticPr fontId="20" type="noConversion"/>
  </si>
  <si>
    <t>전체면적</t>
    <phoneticPr fontId="20" type="noConversion"/>
  </si>
  <si>
    <t>바닥 원둘레 길이</t>
    <phoneticPr fontId="20" type="noConversion"/>
  </si>
  <si>
    <t>구  분</t>
    <phoneticPr fontId="20" type="noConversion"/>
  </si>
  <si>
    <t>판매수량</t>
    <phoneticPr fontId="20" type="noConversion"/>
  </si>
  <si>
    <t>판매금액</t>
    <phoneticPr fontId="20" type="noConversion"/>
  </si>
  <si>
    <t>강북</t>
    <phoneticPr fontId="20" type="noConversion"/>
  </si>
  <si>
    <t>인천</t>
    <phoneticPr fontId="20" type="noConversion"/>
  </si>
  <si>
    <t>수원</t>
    <phoneticPr fontId="20" type="noConversion"/>
  </si>
  <si>
    <t>안양</t>
    <phoneticPr fontId="20" type="noConversion"/>
  </si>
  <si>
    <t>강릉</t>
    <phoneticPr fontId="20" type="noConversion"/>
  </si>
  <si>
    <t>원주</t>
    <phoneticPr fontId="20" type="noConversion"/>
  </si>
  <si>
    <t>충주</t>
    <phoneticPr fontId="20" type="noConversion"/>
  </si>
  <si>
    <t>지점계</t>
    <phoneticPr fontId="20" type="noConversion"/>
  </si>
  <si>
    <t>실적</t>
    <phoneticPr fontId="20" type="noConversion"/>
  </si>
  <si>
    <t>구성비</t>
    <phoneticPr fontId="20" type="noConversion"/>
  </si>
  <si>
    <t>강동</t>
    <phoneticPr fontId="20" type="noConversion"/>
  </si>
  <si>
    <t>판매수량</t>
    <phoneticPr fontId="20" type="noConversion"/>
  </si>
  <si>
    <t>강서</t>
    <phoneticPr fontId="20" type="noConversion"/>
  </si>
  <si>
    <t>판매수량</t>
    <phoneticPr fontId="20" type="noConversion"/>
  </si>
  <si>
    <t>강남</t>
    <phoneticPr fontId="20" type="noConversion"/>
  </si>
  <si>
    <t>판매수량</t>
    <phoneticPr fontId="20" type="noConversion"/>
  </si>
  <si>
    <t>선적구분 :</t>
    <phoneticPr fontId="4" type="noConversion"/>
  </si>
  <si>
    <t>일자</t>
    <phoneticPr fontId="4" type="noConversion"/>
  </si>
  <si>
    <t>거래처</t>
    <phoneticPr fontId="4" type="noConversion"/>
  </si>
  <si>
    <t>품명</t>
    <phoneticPr fontId="4" type="noConversion"/>
  </si>
  <si>
    <t>단가</t>
    <phoneticPr fontId="4" type="noConversion"/>
  </si>
  <si>
    <t>수량</t>
    <phoneticPr fontId="4" type="noConversion"/>
  </si>
  <si>
    <t>금액</t>
    <phoneticPr fontId="4" type="noConversion"/>
  </si>
  <si>
    <t>입금액</t>
    <phoneticPr fontId="4" type="noConversion"/>
  </si>
  <si>
    <t>미수금액</t>
    <phoneticPr fontId="4" type="noConversion"/>
  </si>
  <si>
    <t>대웅정비소</t>
  </si>
  <si>
    <t>시트커버</t>
  </si>
  <si>
    <t>롱 룸미러</t>
  </si>
  <si>
    <t>스피드카센터</t>
  </si>
  <si>
    <t>냉온장고</t>
  </si>
  <si>
    <t>대한공업사</t>
  </si>
  <si>
    <t>유진공업사</t>
  </si>
  <si>
    <t>공동카센터</t>
  </si>
  <si>
    <t>파워핸들</t>
  </si>
  <si>
    <t>공기청정기</t>
  </si>
  <si>
    <t>ㅇㅇ</t>
    <phoneticPr fontId="4" type="noConversion"/>
  </si>
  <si>
    <t>제목입니다.</t>
  </si>
  <si>
    <t>ㅇ</t>
    <phoneticPr fontId="4" type="noConversion"/>
  </si>
  <si>
    <t>손익계산서</t>
    <phoneticPr fontId="20" type="noConversion"/>
  </si>
  <si>
    <t xml:space="preserve"> </t>
    <phoneticPr fontId="4" type="noConversion"/>
  </si>
  <si>
    <t>상대참조</t>
  </si>
  <si>
    <t>절대참조</t>
  </si>
  <si>
    <t>상대참조</t>
    <phoneticPr fontId="4" type="noConversion"/>
  </si>
  <si>
    <t>부서</t>
    <phoneticPr fontId="4" type="noConversion"/>
  </si>
  <si>
    <t>영업부</t>
    <phoneticPr fontId="4" type="noConversion"/>
  </si>
  <si>
    <t>직위</t>
    <phoneticPr fontId="4" type="noConversion"/>
  </si>
  <si>
    <t>부장</t>
    <phoneticPr fontId="4" type="noConversion"/>
  </si>
  <si>
    <t>금액</t>
    <phoneticPr fontId="4" type="noConversion"/>
  </si>
  <si>
    <t>한아름</t>
    <phoneticPr fontId="4" type="noConversion"/>
  </si>
  <si>
    <t>안특송</t>
    <phoneticPr fontId="4" type="noConversion"/>
  </si>
  <si>
    <t>공기청정기 최대값</t>
  </si>
  <si>
    <t>냉온장고 최대값</t>
  </si>
  <si>
    <t>롱 룸미러 최대값</t>
  </si>
  <si>
    <t>시트커버 최대값</t>
  </si>
  <si>
    <t>파워핸들 최대값</t>
  </si>
  <si>
    <t>전체 최대값</t>
  </si>
  <si>
    <t>1:합계</t>
    <phoneticPr fontId="4" type="noConversion"/>
  </si>
  <si>
    <t>5:최소값</t>
    <phoneticPr fontId="4" type="noConversion"/>
  </si>
  <si>
    <t>3:평균</t>
    <phoneticPr fontId="4" type="noConversion"/>
  </si>
  <si>
    <t>4:최소값</t>
    <phoneticPr fontId="4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</si>
</sst>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7">
    <numFmt numFmtId="41" formatCode="_-* #,##0_-;\-* #,##0_-;_-* &quot;-&quot;_-;_-@_-"/>
    <numFmt numFmtId="176" formatCode="\\#,##0;&quot;-\&quot;#,##0"/>
    <numFmt numFmtId="177" formatCode="yy&quot;-&quot;mm&quot;-&quot;dd"/>
    <numFmt numFmtId="178" formatCode="_ * #,##0_ ;_ * \-#,##0_ ;_ * &quot;-&quot;_ ;_ @_ "/>
    <numFmt numFmtId="179" formatCode="#,##0_ "/>
    <numFmt numFmtId="180" formatCode="0.00_ "/>
    <numFmt numFmtId="181" formatCode="0.0%"/>
  </numFmts>
  <fonts count="40" x14ac:knownFonts="1">
    <font>
      <sz val="11"/>
      <name val="돋움"/>
      <family val="3"/>
      <charset val="129"/>
    </font>
    <font>
      <sz val="11"/>
      <name val="돋움"/>
      <family val="3"/>
      <charset val="129"/>
    </font>
    <font>
      <sz val="9"/>
      <color indexed="8"/>
      <name val="굴림"/>
      <family val="3"/>
      <charset val="129"/>
    </font>
    <font>
      <sz val="12"/>
      <color indexed="8"/>
      <name val="굴림"/>
      <family val="3"/>
      <charset val="129"/>
    </font>
    <font>
      <sz val="8"/>
      <name val="돋움"/>
      <family val="3"/>
      <charset val="129"/>
    </font>
    <font>
      <sz val="10"/>
      <name val="돋움"/>
      <family val="3"/>
      <charset val="129"/>
    </font>
    <font>
      <b/>
      <sz val="10"/>
      <name val="돋움"/>
      <family val="3"/>
      <charset val="129"/>
    </font>
    <font>
      <b/>
      <sz val="9"/>
      <color indexed="8"/>
      <name val="굴림"/>
      <family val="3"/>
      <charset val="129"/>
    </font>
    <font>
      <b/>
      <sz val="11"/>
      <color indexed="12"/>
      <name val="돋움"/>
      <family val="3"/>
      <charset val="129"/>
    </font>
    <font>
      <b/>
      <sz val="10"/>
      <color indexed="10"/>
      <name val="돋움"/>
      <family val="3"/>
      <charset val="129"/>
    </font>
    <font>
      <b/>
      <sz val="11"/>
      <name val="돋움"/>
      <family val="3"/>
      <charset val="129"/>
    </font>
    <font>
      <b/>
      <sz val="10"/>
      <name val="굴림"/>
      <family val="3"/>
      <charset val="129"/>
    </font>
    <font>
      <sz val="10"/>
      <name val="굴림"/>
      <family val="3"/>
      <charset val="129"/>
    </font>
    <font>
      <b/>
      <sz val="10"/>
      <color indexed="12"/>
      <name val="굴림"/>
      <family val="3"/>
      <charset val="129"/>
    </font>
    <font>
      <sz val="12"/>
      <name val="바탕체"/>
      <family val="1"/>
      <charset val="129"/>
    </font>
    <font>
      <b/>
      <sz val="16"/>
      <name val="굴림체"/>
      <family val="3"/>
      <charset val="129"/>
    </font>
    <font>
      <sz val="12"/>
      <name val="굴림체"/>
      <family val="3"/>
      <charset val="129"/>
    </font>
    <font>
      <b/>
      <sz val="12"/>
      <name val="돋움"/>
      <family val="3"/>
      <charset val="129"/>
    </font>
    <font>
      <b/>
      <sz val="13"/>
      <name val="굴림체"/>
      <family val="3"/>
      <charset val="129"/>
    </font>
    <font>
      <sz val="13"/>
      <name val="굴림체"/>
      <family val="3"/>
      <charset val="129"/>
    </font>
    <font>
      <sz val="8"/>
      <name val="굴림"/>
      <family val="3"/>
      <charset val="129"/>
    </font>
    <font>
      <sz val="11"/>
      <name val="Arial"/>
      <family val="2"/>
    </font>
    <font>
      <b/>
      <sz val="11"/>
      <color indexed="9"/>
      <name val="맑은 고딕"/>
      <family val="3"/>
      <charset val="129"/>
    </font>
    <font>
      <sz val="11"/>
      <color indexed="9"/>
      <name val="Arial"/>
      <family val="2"/>
    </font>
    <font>
      <sz val="11"/>
      <color indexed="9"/>
      <name val="맑은 고딕"/>
      <family val="3"/>
      <charset val="129"/>
    </font>
    <font>
      <sz val="8"/>
      <name val="바탕"/>
      <family val="1"/>
      <charset val="129"/>
    </font>
    <font>
      <sz val="11"/>
      <name val="맑은 고딕"/>
      <family val="3"/>
      <charset val="129"/>
    </font>
    <font>
      <sz val="11"/>
      <name val="굴림"/>
      <family val="3"/>
      <charset val="129"/>
    </font>
    <font>
      <b/>
      <sz val="11"/>
      <name val="굴림"/>
      <family val="3"/>
      <charset val="129"/>
    </font>
    <font>
      <sz val="11"/>
      <color indexed="9"/>
      <name val="돋움"/>
      <family val="3"/>
      <charset val="129"/>
    </font>
    <font>
      <b/>
      <sz val="11"/>
      <color theme="0"/>
      <name val="Arial"/>
      <family val="2"/>
    </font>
    <font>
      <sz val="11"/>
      <name val="HY헤드라인M"/>
      <family val="1"/>
      <charset val="129"/>
    </font>
    <font>
      <sz val="20"/>
      <color theme="3"/>
      <name val="HY헤드라인M"/>
      <family val="1"/>
      <charset val="129"/>
    </font>
    <font>
      <sz val="20"/>
      <name val="돋움"/>
      <family val="3"/>
      <charset val="129"/>
    </font>
    <font>
      <sz val="11"/>
      <color rgb="FF000000"/>
      <name val="돋움"/>
      <family val="3"/>
      <charset val="129"/>
    </font>
    <font>
      <sz val="9"/>
      <name val="굴림"/>
      <family val="3"/>
      <charset val="129"/>
    </font>
    <font>
      <b/>
      <sz val="10"/>
      <color rgb="FF000000"/>
      <name val="돋움"/>
      <family val="3"/>
      <charset val="129"/>
    </font>
    <font>
      <sz val="9"/>
      <color rgb="FF000000"/>
      <name val="굴림"/>
      <family val="3"/>
      <charset val="129"/>
    </font>
    <font>
      <b/>
      <sz val="10"/>
      <color rgb="FF0000FF"/>
      <name val="굴림"/>
      <family val="3"/>
      <charset val="129"/>
    </font>
    <font>
      <sz val="10"/>
      <color rgb="FF000000"/>
      <name val="굴림"/>
      <family val="3"/>
      <charset val="129"/>
    </font>
  </fonts>
  <fills count="15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indexed="50"/>
        <bgColor indexed="64"/>
      </patternFill>
    </fill>
    <fill>
      <patternFill patternType="solid">
        <fgColor indexed="51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3" tint="0.79998168889431442"/>
        <bgColor indexed="64"/>
      </patternFill>
    </fill>
  </fills>
  <borders count="55">
    <border>
      <left/>
      <right/>
      <top/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/>
      <bottom style="thin">
        <color indexed="22"/>
      </bottom>
      <diagonal/>
    </border>
    <border>
      <left/>
      <right style="thick">
        <color indexed="9"/>
      </right>
      <top/>
      <bottom style="thick">
        <color indexed="17"/>
      </bottom>
      <diagonal/>
    </border>
    <border>
      <left style="thick">
        <color indexed="9"/>
      </left>
      <right style="thick">
        <color indexed="9"/>
      </right>
      <top/>
      <bottom style="thick">
        <color indexed="17"/>
      </bottom>
      <diagonal/>
    </border>
    <border>
      <left/>
      <right style="thick">
        <color indexed="9"/>
      </right>
      <top/>
      <bottom style="thick">
        <color indexed="53"/>
      </bottom>
      <diagonal/>
    </border>
    <border>
      <left style="thick">
        <color indexed="9"/>
      </left>
      <right style="thick">
        <color indexed="9"/>
      </right>
      <top/>
      <bottom style="thick">
        <color indexed="53"/>
      </bottom>
      <diagonal/>
    </border>
    <border>
      <left style="thick">
        <color indexed="9"/>
      </left>
      <right style="thick">
        <color indexed="10"/>
      </right>
      <top/>
      <bottom style="thick">
        <color indexed="53"/>
      </bottom>
      <diagonal/>
    </border>
    <border>
      <left style="thick">
        <color indexed="9"/>
      </left>
      <right style="thick">
        <color indexed="17"/>
      </right>
      <top/>
      <bottom style="thick">
        <color indexed="17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 diagonalDown="1">
      <left style="thick">
        <color indexed="22"/>
      </left>
      <right style="thin">
        <color indexed="64"/>
      </right>
      <top style="thick">
        <color indexed="22"/>
      </top>
      <bottom style="thin">
        <color indexed="64"/>
      </bottom>
      <diagonal style="thin">
        <color indexed="64"/>
      </diagonal>
    </border>
    <border>
      <left style="thin">
        <color indexed="64"/>
      </left>
      <right style="thin">
        <color indexed="64"/>
      </right>
      <top style="thick">
        <color indexed="22"/>
      </top>
      <bottom style="thin">
        <color indexed="64"/>
      </bottom>
      <diagonal/>
    </border>
    <border>
      <left style="thin">
        <color indexed="64"/>
      </left>
      <right style="thick">
        <color indexed="63"/>
      </right>
      <top style="thick">
        <color indexed="22"/>
      </top>
      <bottom style="thin">
        <color indexed="64"/>
      </bottom>
      <diagonal/>
    </border>
    <border>
      <left style="thick">
        <color indexed="22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ck">
        <color indexed="63"/>
      </right>
      <top style="thin">
        <color indexed="64"/>
      </top>
      <bottom style="thin">
        <color indexed="64"/>
      </bottom>
      <diagonal/>
    </border>
    <border>
      <left style="thick">
        <color indexed="22"/>
      </left>
      <right style="thin">
        <color indexed="64"/>
      </right>
      <top style="thin">
        <color indexed="64"/>
      </top>
      <bottom style="thick">
        <color indexed="63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ck">
        <color indexed="63"/>
      </bottom>
      <diagonal/>
    </border>
    <border>
      <left style="thin">
        <color indexed="64"/>
      </left>
      <right style="thick">
        <color indexed="63"/>
      </right>
      <top style="thin">
        <color indexed="64"/>
      </top>
      <bottom style="thick">
        <color indexed="63"/>
      </bottom>
      <diagonal/>
    </border>
    <border>
      <left style="thin">
        <color indexed="64"/>
      </left>
      <right style="thin">
        <color indexed="64"/>
      </right>
      <top/>
      <bottom style="dotted">
        <color indexed="64"/>
      </bottom>
      <diagonal/>
    </border>
    <border>
      <left style="thin">
        <color indexed="64"/>
      </left>
      <right style="thin">
        <color indexed="64"/>
      </right>
      <top style="dotted">
        <color indexed="64"/>
      </top>
      <bottom style="dotted">
        <color indexed="64"/>
      </bottom>
      <diagonal/>
    </border>
    <border>
      <left style="thin">
        <color indexed="64"/>
      </left>
      <right style="thin">
        <color indexed="64"/>
      </right>
      <top style="dotted">
        <color indexed="64"/>
      </top>
      <bottom style="thin">
        <color indexed="64"/>
      </bottom>
      <diagonal/>
    </border>
    <border>
      <left style="double">
        <color indexed="64"/>
      </left>
      <right/>
      <top style="double">
        <color indexed="64"/>
      </top>
      <bottom style="thin">
        <color indexed="64"/>
      </bottom>
      <diagonal/>
    </border>
    <border>
      <left style="thin">
        <color indexed="64"/>
      </left>
      <right/>
      <top style="double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double">
        <color indexed="64"/>
      </top>
      <bottom style="thin">
        <color indexed="64"/>
      </bottom>
      <diagonal/>
    </border>
    <border>
      <left style="double">
        <color indexed="64"/>
      </left>
      <right/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double">
        <color indexed="64"/>
      </right>
      <top/>
      <bottom/>
      <diagonal/>
    </border>
    <border>
      <left style="double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double">
        <color indexed="64"/>
      </right>
      <top/>
      <bottom style="thin">
        <color indexed="64"/>
      </bottom>
      <diagonal/>
    </border>
    <border>
      <left style="double">
        <color indexed="64"/>
      </left>
      <right/>
      <top/>
      <bottom style="double">
        <color indexed="64"/>
      </bottom>
      <diagonal/>
    </border>
    <border>
      <left style="thin">
        <color indexed="64"/>
      </left>
      <right/>
      <top/>
      <bottom style="double">
        <color indexed="64"/>
      </bottom>
      <diagonal/>
    </border>
    <border>
      <left style="thin">
        <color indexed="64"/>
      </left>
      <right style="double">
        <color indexed="64"/>
      </right>
      <top/>
      <bottom style="double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9"/>
      </left>
      <right style="thin">
        <color indexed="64"/>
      </right>
      <top style="thin">
        <color indexed="9"/>
      </top>
      <bottom style="thin">
        <color indexed="64"/>
      </bottom>
      <diagonal/>
    </border>
    <border>
      <left style="thin">
        <color indexed="64"/>
      </left>
      <right style="thin">
        <color indexed="9"/>
      </right>
      <top style="thin">
        <color indexed="64"/>
      </top>
      <bottom style="thin">
        <color indexed="9"/>
      </bottom>
      <diagonal/>
    </border>
    <border>
      <left style="dotted">
        <color indexed="64"/>
      </left>
      <right style="dotted">
        <color indexed="64"/>
      </right>
      <top style="dotted">
        <color indexed="64"/>
      </top>
      <bottom style="dotted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/>
      </left>
      <right/>
      <top style="thin">
        <color theme="0"/>
      </top>
      <bottom/>
      <diagonal/>
    </border>
    <border>
      <left/>
      <right/>
      <top style="thin">
        <color theme="0"/>
      </top>
      <bottom/>
      <diagonal/>
    </border>
    <border>
      <left/>
      <right style="thin">
        <color theme="0"/>
      </right>
      <top style="thin">
        <color theme="0"/>
      </top>
      <bottom/>
      <diagonal/>
    </border>
    <border>
      <left style="thin">
        <color theme="0"/>
      </left>
      <right/>
      <top/>
      <bottom/>
      <diagonal/>
    </border>
    <border>
      <left/>
      <right style="thin">
        <color theme="0"/>
      </right>
      <top/>
      <bottom/>
      <diagonal/>
    </border>
    <border>
      <left style="thin">
        <color theme="0"/>
      </left>
      <right/>
      <top/>
      <bottom style="thin">
        <color theme="0"/>
      </bottom>
      <diagonal/>
    </border>
    <border>
      <left/>
      <right/>
      <top/>
      <bottom style="thin">
        <color theme="0"/>
      </bottom>
      <diagonal/>
    </border>
    <border>
      <left/>
      <right style="thin">
        <color theme="0"/>
      </right>
      <top/>
      <bottom style="thin">
        <color theme="0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</borders>
  <cellStyleXfs count="9">
    <xf numFmtId="0" fontId="0" fillId="0" borderId="0"/>
    <xf numFmtId="9" fontId="1" fillId="0" borderId="0" applyFont="0" applyFill="0" applyBorder="0" applyAlignment="0" applyProtection="0"/>
    <xf numFmtId="41" fontId="1" fillId="0" borderId="0" applyFont="0" applyFill="0" applyBorder="0" applyAlignment="0" applyProtection="0"/>
    <xf numFmtId="41" fontId="1" fillId="0" borderId="0" applyFont="0" applyFill="0" applyBorder="0" applyAlignment="0" applyProtection="0">
      <alignment vertical="center"/>
    </xf>
    <xf numFmtId="178" fontId="1" fillId="0" borderId="0" applyFont="0" applyFill="0" applyBorder="0" applyAlignment="0" applyProtection="0"/>
    <xf numFmtId="0" fontId="1" fillId="0" borderId="0">
      <alignment vertical="center"/>
    </xf>
    <xf numFmtId="0" fontId="1" fillId="0" borderId="0">
      <alignment vertical="center"/>
    </xf>
    <xf numFmtId="0" fontId="3" fillId="0" borderId="0"/>
    <xf numFmtId="0" fontId="14" fillId="0" borderId="0"/>
  </cellStyleXfs>
  <cellXfs count="156">
    <xf numFmtId="0" fontId="0" fillId="0" borderId="0" xfId="0"/>
    <xf numFmtId="0" fontId="2" fillId="0" borderId="1" xfId="7" applyFont="1" applyFill="1" applyBorder="1" applyAlignment="1">
      <alignment horizontal="left" wrapText="1"/>
    </xf>
    <xf numFmtId="176" fontId="2" fillId="0" borderId="1" xfId="7" applyNumberFormat="1" applyFont="1" applyFill="1" applyBorder="1" applyAlignment="1">
      <alignment horizontal="right" wrapText="1"/>
    </xf>
    <xf numFmtId="0" fontId="2" fillId="0" borderId="1" xfId="7" applyFont="1" applyFill="1" applyBorder="1" applyAlignment="1">
      <alignment horizontal="center" wrapText="1"/>
    </xf>
    <xf numFmtId="0" fontId="5" fillId="0" borderId="0" xfId="0" applyFont="1"/>
    <xf numFmtId="0" fontId="2" fillId="0" borderId="2" xfId="7" applyFont="1" applyFill="1" applyBorder="1" applyAlignment="1">
      <alignment horizontal="left" wrapText="1"/>
    </xf>
    <xf numFmtId="176" fontId="2" fillId="0" borderId="2" xfId="7" applyNumberFormat="1" applyFont="1" applyFill="1" applyBorder="1" applyAlignment="1">
      <alignment horizontal="right" wrapText="1"/>
    </xf>
    <xf numFmtId="0" fontId="2" fillId="0" borderId="0" xfId="7" quotePrefix="1" applyFont="1" applyFill="1" applyBorder="1" applyAlignment="1">
      <alignment horizontal="center" wrapText="1"/>
    </xf>
    <xf numFmtId="0" fontId="2" fillId="0" borderId="0" xfId="7" applyFont="1" applyFill="1" applyBorder="1" applyAlignment="1">
      <alignment horizontal="left" wrapText="1"/>
    </xf>
    <xf numFmtId="176" fontId="2" fillId="0" borderId="0" xfId="7" applyNumberFormat="1" applyFont="1" applyFill="1" applyBorder="1" applyAlignment="1">
      <alignment horizontal="right" wrapText="1"/>
    </xf>
    <xf numFmtId="0" fontId="0" fillId="0" borderId="0" xfId="0" applyAlignment="1">
      <alignment horizontal="center"/>
    </xf>
    <xf numFmtId="0" fontId="5" fillId="0" borderId="0" xfId="0" applyFont="1" applyAlignment="1">
      <alignment horizontal="center"/>
    </xf>
    <xf numFmtId="14" fontId="5" fillId="0" borderId="0" xfId="0" applyNumberFormat="1" applyFont="1" applyAlignment="1">
      <alignment horizontal="center"/>
    </xf>
    <xf numFmtId="0" fontId="2" fillId="0" borderId="0" xfId="7" applyFont="1" applyFill="1" applyBorder="1" applyAlignment="1">
      <alignment horizontal="center" wrapText="1"/>
    </xf>
    <xf numFmtId="14" fontId="2" fillId="0" borderId="0" xfId="7" applyNumberFormat="1" applyFont="1" applyFill="1" applyBorder="1" applyAlignment="1">
      <alignment horizontal="center" wrapText="1"/>
    </xf>
    <xf numFmtId="0" fontId="2" fillId="0" borderId="2" xfId="7" applyFont="1" applyFill="1" applyBorder="1" applyAlignment="1">
      <alignment horizontal="center" wrapText="1"/>
    </xf>
    <xf numFmtId="14" fontId="2" fillId="0" borderId="2" xfId="7" applyNumberFormat="1" applyFont="1" applyFill="1" applyBorder="1" applyAlignment="1">
      <alignment horizontal="center" wrapText="1"/>
    </xf>
    <xf numFmtId="14" fontId="2" fillId="0" borderId="1" xfId="7" applyNumberFormat="1" applyFont="1" applyFill="1" applyBorder="1" applyAlignment="1">
      <alignment horizontal="center" wrapText="1"/>
    </xf>
    <xf numFmtId="0" fontId="0" fillId="2" borderId="0" xfId="0" applyFill="1"/>
    <xf numFmtId="0" fontId="0" fillId="2" borderId="0" xfId="0" applyFill="1" applyAlignment="1">
      <alignment horizontal="center"/>
    </xf>
    <xf numFmtId="0" fontId="8" fillId="0" borderId="0" xfId="0" applyFont="1"/>
    <xf numFmtId="49" fontId="0" fillId="2" borderId="0" xfId="0" applyNumberFormat="1" applyFill="1"/>
    <xf numFmtId="49" fontId="0" fillId="0" borderId="0" xfId="0" applyNumberFormat="1"/>
    <xf numFmtId="49" fontId="5" fillId="0" borderId="0" xfId="0" applyNumberFormat="1" applyFont="1"/>
    <xf numFmtId="49" fontId="2" fillId="0" borderId="0" xfId="7" quotePrefix="1" applyNumberFormat="1" applyFont="1" applyFill="1" applyBorder="1" applyAlignment="1">
      <alignment horizontal="center" wrapText="1"/>
    </xf>
    <xf numFmtId="49" fontId="2" fillId="0" borderId="1" xfId="7" quotePrefix="1" applyNumberFormat="1" applyFont="1" applyFill="1" applyBorder="1" applyAlignment="1">
      <alignment horizontal="center" wrapText="1"/>
    </xf>
    <xf numFmtId="49" fontId="2" fillId="0" borderId="2" xfId="7" applyNumberFormat="1" applyFont="1" applyFill="1" applyBorder="1" applyAlignment="1">
      <alignment horizontal="center" wrapText="1"/>
    </xf>
    <xf numFmtId="49" fontId="2" fillId="0" borderId="1" xfId="7" applyNumberFormat="1" applyFont="1" applyFill="1" applyBorder="1" applyAlignment="1">
      <alignment horizontal="center" wrapText="1"/>
    </xf>
    <xf numFmtId="49" fontId="7" fillId="3" borderId="3" xfId="7" applyNumberFormat="1" applyFont="1" applyFill="1" applyBorder="1" applyAlignment="1">
      <alignment horizontal="center" vertical="center"/>
    </xf>
    <xf numFmtId="0" fontId="7" fillId="3" borderId="4" xfId="7" applyFont="1" applyFill="1" applyBorder="1" applyAlignment="1">
      <alignment horizontal="center" vertical="center"/>
    </xf>
    <xf numFmtId="49" fontId="7" fillId="4" borderId="5" xfId="7" applyNumberFormat="1" applyFont="1" applyFill="1" applyBorder="1" applyAlignment="1">
      <alignment horizontal="center" vertical="center"/>
    </xf>
    <xf numFmtId="0" fontId="7" fillId="4" borderId="6" xfId="7" applyFont="1" applyFill="1" applyBorder="1" applyAlignment="1">
      <alignment horizontal="center" vertical="center"/>
    </xf>
    <xf numFmtId="0" fontId="7" fillId="4" borderId="7" xfId="7" applyFont="1" applyFill="1" applyBorder="1" applyAlignment="1">
      <alignment horizontal="center" vertical="center"/>
    </xf>
    <xf numFmtId="0" fontId="7" fillId="3" borderId="8" xfId="7" applyFont="1" applyFill="1" applyBorder="1" applyAlignment="1">
      <alignment horizontal="center" vertical="center"/>
    </xf>
    <xf numFmtId="0" fontId="0" fillId="0" borderId="9" xfId="0" applyBorder="1" applyAlignment="1">
      <alignment horizontal="center"/>
    </xf>
    <xf numFmtId="0" fontId="0" fillId="2" borderId="0" xfId="0" applyFill="1" applyAlignment="1">
      <alignment vertical="center"/>
    </xf>
    <xf numFmtId="49" fontId="0" fillId="2" borderId="0" xfId="0" applyNumberFormat="1" applyFill="1" applyAlignment="1">
      <alignment vertical="center"/>
    </xf>
    <xf numFmtId="0" fontId="0" fillId="2" borderId="0" xfId="0" applyFill="1" applyAlignment="1">
      <alignment horizontal="center" vertical="center"/>
    </xf>
    <xf numFmtId="49" fontId="6" fillId="2" borderId="0" xfId="0" applyNumberFormat="1" applyFont="1" applyFill="1" applyAlignment="1">
      <alignment vertical="center"/>
    </xf>
    <xf numFmtId="0" fontId="6" fillId="2" borderId="0" xfId="0" applyFont="1" applyFill="1" applyAlignment="1">
      <alignment vertical="center"/>
    </xf>
    <xf numFmtId="0" fontId="9" fillId="2" borderId="0" xfId="0" applyFont="1" applyFill="1" applyAlignment="1">
      <alignment horizontal="center" vertical="center"/>
    </xf>
    <xf numFmtId="14" fontId="0" fillId="2" borderId="0" xfId="0" applyNumberFormat="1" applyFill="1" applyAlignment="1">
      <alignment horizontal="center" vertical="center"/>
    </xf>
    <xf numFmtId="0" fontId="10" fillId="2" borderId="0" xfId="0" applyFont="1" applyFill="1" applyAlignment="1">
      <alignment vertical="center"/>
    </xf>
    <xf numFmtId="0" fontId="0" fillId="5" borderId="0" xfId="0" applyFill="1" applyAlignment="1">
      <alignment vertical="center"/>
    </xf>
    <xf numFmtId="0" fontId="10" fillId="2" borderId="0" xfId="0" applyFont="1" applyFill="1" applyAlignment="1">
      <alignment horizontal="right" vertical="center"/>
    </xf>
    <xf numFmtId="0" fontId="0" fillId="0" borderId="0" xfId="0" applyBorder="1"/>
    <xf numFmtId="0" fontId="1" fillId="6" borderId="0" xfId="6" applyFill="1">
      <alignment vertical="center"/>
    </xf>
    <xf numFmtId="0" fontId="11" fillId="7" borderId="10" xfId="6" applyFont="1" applyFill="1" applyBorder="1" applyAlignment="1">
      <alignment horizontal="center" vertical="center"/>
    </xf>
    <xf numFmtId="0" fontId="11" fillId="7" borderId="11" xfId="6" applyFont="1" applyFill="1" applyBorder="1" applyAlignment="1">
      <alignment horizontal="center" vertical="center"/>
    </xf>
    <xf numFmtId="0" fontId="11" fillId="7" borderId="12" xfId="6" applyFont="1" applyFill="1" applyBorder="1" applyAlignment="1">
      <alignment horizontal="center" vertical="center"/>
    </xf>
    <xf numFmtId="0" fontId="11" fillId="7" borderId="13" xfId="6" applyFont="1" applyFill="1" applyBorder="1" applyAlignment="1">
      <alignment horizontal="center" vertical="center"/>
    </xf>
    <xf numFmtId="41" fontId="12" fillId="8" borderId="9" xfId="2" applyFont="1" applyFill="1" applyBorder="1" applyAlignment="1">
      <alignment horizontal="center" vertical="center"/>
    </xf>
    <xf numFmtId="41" fontId="12" fillId="8" borderId="14" xfId="2" applyFont="1" applyFill="1" applyBorder="1" applyAlignment="1">
      <alignment horizontal="center" vertical="center"/>
    </xf>
    <xf numFmtId="0" fontId="11" fillId="7" borderId="15" xfId="6" applyFont="1" applyFill="1" applyBorder="1" applyAlignment="1">
      <alignment horizontal="center" vertical="center"/>
    </xf>
    <xf numFmtId="41" fontId="12" fillId="8" borderId="16" xfId="2" applyFont="1" applyFill="1" applyBorder="1" applyAlignment="1">
      <alignment horizontal="center" vertical="center"/>
    </xf>
    <xf numFmtId="41" fontId="12" fillId="8" borderId="17" xfId="2" applyFont="1" applyFill="1" applyBorder="1" applyAlignment="1">
      <alignment horizontal="center" vertical="center"/>
    </xf>
    <xf numFmtId="0" fontId="13" fillId="6" borderId="0" xfId="6" applyFont="1" applyFill="1" applyAlignment="1">
      <alignment horizontal="right" vertical="center"/>
    </xf>
    <xf numFmtId="0" fontId="11" fillId="9" borderId="9" xfId="6" applyFont="1" applyFill="1" applyBorder="1" applyAlignment="1">
      <alignment horizontal="center" vertical="center"/>
    </xf>
    <xf numFmtId="0" fontId="1" fillId="0" borderId="0" xfId="6">
      <alignment vertical="center"/>
    </xf>
    <xf numFmtId="0" fontId="12" fillId="0" borderId="18" xfId="6" applyFont="1" applyBorder="1" applyAlignment="1">
      <alignment horizontal="center" vertical="center"/>
    </xf>
    <xf numFmtId="14" fontId="12" fillId="0" borderId="18" xfId="6" applyNumberFormat="1" applyFont="1" applyBorder="1" applyAlignment="1">
      <alignment horizontal="center" vertical="center"/>
    </xf>
    <xf numFmtId="41" fontId="12" fillId="0" borderId="18" xfId="2" applyFont="1" applyBorder="1" applyAlignment="1">
      <alignment horizontal="center" vertical="center"/>
    </xf>
    <xf numFmtId="41" fontId="12" fillId="0" borderId="18" xfId="6" applyNumberFormat="1" applyFont="1" applyBorder="1" applyAlignment="1">
      <alignment horizontal="center" vertical="center"/>
    </xf>
    <xf numFmtId="0" fontId="12" fillId="0" borderId="19" xfId="6" applyFont="1" applyBorder="1" applyAlignment="1">
      <alignment horizontal="center" vertical="center"/>
    </xf>
    <xf numFmtId="14" fontId="12" fillId="0" borderId="19" xfId="6" applyNumberFormat="1" applyFont="1" applyBorder="1" applyAlignment="1">
      <alignment horizontal="center" vertical="center"/>
    </xf>
    <xf numFmtId="41" fontId="12" fillId="0" borderId="19" xfId="2" applyFont="1" applyBorder="1" applyAlignment="1">
      <alignment horizontal="center" vertical="center"/>
    </xf>
    <xf numFmtId="41" fontId="12" fillId="0" borderId="19" xfId="6" applyNumberFormat="1" applyFont="1" applyBorder="1" applyAlignment="1">
      <alignment horizontal="center" vertical="center"/>
    </xf>
    <xf numFmtId="0" fontId="12" fillId="0" borderId="20" xfId="6" applyFont="1" applyBorder="1" applyAlignment="1">
      <alignment horizontal="center" vertical="center"/>
    </xf>
    <xf numFmtId="14" fontId="12" fillId="0" borderId="20" xfId="6" applyNumberFormat="1" applyFont="1" applyBorder="1" applyAlignment="1">
      <alignment horizontal="center" vertical="center"/>
    </xf>
    <xf numFmtId="41" fontId="12" fillId="0" borderId="20" xfId="2" applyFont="1" applyBorder="1" applyAlignment="1">
      <alignment horizontal="center" vertical="center"/>
    </xf>
    <xf numFmtId="41" fontId="12" fillId="0" borderId="20" xfId="6" applyNumberFormat="1" applyFont="1" applyBorder="1" applyAlignment="1">
      <alignment horizontal="center" vertical="center"/>
    </xf>
    <xf numFmtId="0" fontId="15" fillId="0" borderId="0" xfId="8" applyFont="1" applyAlignment="1">
      <alignment horizontal="centerContinuous"/>
    </xf>
    <xf numFmtId="0" fontId="14" fillId="0" borderId="0" xfId="8" applyAlignment="1">
      <alignment horizontal="centerContinuous"/>
    </xf>
    <xf numFmtId="22" fontId="14" fillId="0" borderId="0" xfId="8" applyNumberFormat="1" applyAlignment="1">
      <alignment horizontal="centerContinuous"/>
    </xf>
    <xf numFmtId="0" fontId="14" fillId="0" borderId="0" xfId="8"/>
    <xf numFmtId="14" fontId="14" fillId="0" borderId="0" xfId="8" applyNumberFormat="1"/>
    <xf numFmtId="0" fontId="16" fillId="0" borderId="21" xfId="8" applyFont="1" applyBorder="1"/>
    <xf numFmtId="0" fontId="16" fillId="0" borderId="22" xfId="8" applyFont="1" applyBorder="1" applyAlignment="1">
      <alignment horizontal="center"/>
    </xf>
    <xf numFmtId="0" fontId="16" fillId="0" borderId="23" xfId="8" applyFont="1" applyBorder="1" applyAlignment="1">
      <alignment horizontal="center"/>
    </xf>
    <xf numFmtId="0" fontId="14" fillId="0" borderId="24" xfId="8" applyBorder="1"/>
    <xf numFmtId="178" fontId="14" fillId="0" borderId="25" xfId="4" applyFont="1" applyBorder="1"/>
    <xf numFmtId="9" fontId="14" fillId="0" borderId="26" xfId="1" applyFont="1" applyBorder="1"/>
    <xf numFmtId="0" fontId="14" fillId="0" borderId="27" xfId="8" applyBorder="1"/>
    <xf numFmtId="178" fontId="14" fillId="0" borderId="28" xfId="4" applyFont="1" applyBorder="1"/>
    <xf numFmtId="9" fontId="14" fillId="0" borderId="29" xfId="1" applyFont="1" applyBorder="1"/>
    <xf numFmtId="0" fontId="16" fillId="0" borderId="30" xfId="8" applyFont="1" applyBorder="1"/>
    <xf numFmtId="178" fontId="16" fillId="0" borderId="31" xfId="4" applyFont="1" applyBorder="1"/>
    <xf numFmtId="9" fontId="16" fillId="0" borderId="32" xfId="1" applyFont="1" applyBorder="1"/>
    <xf numFmtId="0" fontId="14" fillId="0" borderId="33" xfId="8" applyBorder="1"/>
    <xf numFmtId="0" fontId="14" fillId="0" borderId="34" xfId="8" applyBorder="1"/>
    <xf numFmtId="0" fontId="14" fillId="0" borderId="35" xfId="8" applyBorder="1"/>
    <xf numFmtId="0" fontId="14" fillId="0" borderId="25" xfId="8" applyBorder="1"/>
    <xf numFmtId="0" fontId="14" fillId="0" borderId="0" xfId="8" applyBorder="1"/>
    <xf numFmtId="0" fontId="14" fillId="0" borderId="36" xfId="8" applyBorder="1"/>
    <xf numFmtId="0" fontId="14" fillId="0" borderId="28" xfId="8" applyBorder="1"/>
    <xf numFmtId="0" fontId="14" fillId="0" borderId="37" xfId="8" applyBorder="1"/>
    <xf numFmtId="0" fontId="14" fillId="0" borderId="38" xfId="8" applyBorder="1"/>
    <xf numFmtId="177" fontId="18" fillId="8" borderId="39" xfId="0" applyNumberFormat="1" applyFont="1" applyFill="1" applyBorder="1" applyAlignment="1">
      <alignment horizontal="center" vertical="center"/>
    </xf>
    <xf numFmtId="0" fontId="18" fillId="8" borderId="39" xfId="0" applyNumberFormat="1" applyFont="1" applyFill="1" applyBorder="1" applyAlignment="1">
      <alignment horizontal="center" vertical="center"/>
    </xf>
    <xf numFmtId="41" fontId="18" fillId="8" borderId="39" xfId="2" applyFont="1" applyFill="1" applyBorder="1" applyAlignment="1">
      <alignment horizontal="center" vertical="center"/>
    </xf>
    <xf numFmtId="177" fontId="19" fillId="0" borderId="0" xfId="0" applyNumberFormat="1" applyFont="1" applyBorder="1" applyAlignment="1">
      <alignment horizontal="center"/>
    </xf>
    <xf numFmtId="0" fontId="19" fillId="0" borderId="0" xfId="0" applyNumberFormat="1" applyFont="1" applyBorder="1" applyAlignment="1">
      <alignment horizontal="center"/>
    </xf>
    <xf numFmtId="0" fontId="19" fillId="0" borderId="0" xfId="0" applyNumberFormat="1" applyFont="1" applyBorder="1"/>
    <xf numFmtId="41" fontId="19" fillId="0" borderId="0" xfId="2" applyFont="1" applyBorder="1"/>
    <xf numFmtId="0" fontId="0" fillId="12" borderId="0" xfId="0" applyFill="1"/>
    <xf numFmtId="179" fontId="21" fillId="0" borderId="9" xfId="2" applyNumberFormat="1" applyFont="1" applyFill="1" applyBorder="1" applyAlignment="1" applyProtection="1">
      <alignment horizontal="center" vertical="center"/>
    </xf>
    <xf numFmtId="179" fontId="21" fillId="14" borderId="9" xfId="2" applyNumberFormat="1" applyFont="1" applyFill="1" applyBorder="1" applyAlignment="1" applyProtection="1">
      <alignment horizontal="center" vertical="center"/>
    </xf>
    <xf numFmtId="0" fontId="0" fillId="2" borderId="45" xfId="0" applyFill="1" applyBorder="1" applyAlignment="1" applyProtection="1">
      <alignment vertical="center"/>
    </xf>
    <xf numFmtId="0" fontId="0" fillId="2" borderId="46" xfId="0" applyFill="1" applyBorder="1" applyAlignment="1" applyProtection="1">
      <alignment horizontal="center" vertical="center"/>
    </xf>
    <xf numFmtId="0" fontId="0" fillId="2" borderId="46" xfId="0" applyFill="1" applyBorder="1" applyAlignment="1" applyProtection="1">
      <alignment vertical="center"/>
    </xf>
    <xf numFmtId="0" fontId="0" fillId="2" borderId="47" xfId="0" applyFill="1" applyBorder="1" applyAlignment="1" applyProtection="1">
      <alignment vertical="center"/>
    </xf>
    <xf numFmtId="0" fontId="0" fillId="2" borderId="48" xfId="0" applyFill="1" applyBorder="1" applyAlignment="1" applyProtection="1">
      <alignment vertical="center"/>
    </xf>
    <xf numFmtId="0" fontId="27" fillId="2" borderId="40" xfId="0" applyFont="1" applyFill="1" applyBorder="1" applyAlignment="1" applyProtection="1">
      <alignment horizontal="center" vertical="center"/>
    </xf>
    <xf numFmtId="0" fontId="0" fillId="2" borderId="0" xfId="0" applyFill="1" applyBorder="1" applyAlignment="1" applyProtection="1">
      <alignment vertical="center"/>
    </xf>
    <xf numFmtId="0" fontId="28" fillId="5" borderId="41" xfId="0" applyFont="1" applyFill="1" applyBorder="1" applyAlignment="1" applyProtection="1">
      <alignment horizontal="center" vertical="center"/>
    </xf>
    <xf numFmtId="0" fontId="0" fillId="2" borderId="49" xfId="0" applyFill="1" applyBorder="1" applyAlignment="1" applyProtection="1">
      <alignment vertical="center"/>
    </xf>
    <xf numFmtId="0" fontId="0" fillId="2" borderId="0" xfId="0" applyFill="1" applyBorder="1" applyAlignment="1" applyProtection="1">
      <alignment horizontal="center" vertical="center"/>
    </xf>
    <xf numFmtId="180" fontId="28" fillId="10" borderId="41" xfId="0" applyNumberFormat="1" applyFont="1" applyFill="1" applyBorder="1" applyAlignment="1" applyProtection="1">
      <alignment vertical="center"/>
    </xf>
    <xf numFmtId="0" fontId="28" fillId="2" borderId="0" xfId="0" applyFont="1" applyFill="1" applyBorder="1" applyAlignment="1" applyProtection="1">
      <alignment vertical="center"/>
    </xf>
    <xf numFmtId="0" fontId="0" fillId="2" borderId="50" xfId="0" applyFill="1" applyBorder="1" applyAlignment="1" applyProtection="1">
      <alignment vertical="center"/>
    </xf>
    <xf numFmtId="0" fontId="0" fillId="2" borderId="51" xfId="0" applyFill="1" applyBorder="1" applyAlignment="1" applyProtection="1">
      <alignment horizontal="center" vertical="center"/>
    </xf>
    <xf numFmtId="0" fontId="0" fillId="2" borderId="51" xfId="0" applyFill="1" applyBorder="1" applyAlignment="1" applyProtection="1">
      <alignment vertical="center"/>
    </xf>
    <xf numFmtId="0" fontId="0" fillId="2" borderId="52" xfId="0" applyFill="1" applyBorder="1" applyAlignment="1" applyProtection="1">
      <alignment vertical="center"/>
    </xf>
    <xf numFmtId="41" fontId="29" fillId="13" borderId="44" xfId="2" applyFont="1" applyFill="1" applyBorder="1" applyAlignment="1">
      <alignment horizontal="center" vertical="center"/>
    </xf>
    <xf numFmtId="0" fontId="29" fillId="13" borderId="44" xfId="0" applyFont="1" applyFill="1" applyBorder="1" applyAlignment="1">
      <alignment horizontal="center" vertical="center"/>
    </xf>
    <xf numFmtId="0" fontId="1" fillId="0" borderId="53" xfId="0" applyFont="1" applyFill="1" applyBorder="1" applyAlignment="1">
      <alignment horizontal="center" vertical="center"/>
    </xf>
    <xf numFmtId="0" fontId="1" fillId="0" borderId="44" xfId="0" applyFont="1" applyFill="1" applyBorder="1" applyAlignment="1">
      <alignment horizontal="center" vertical="center"/>
    </xf>
    <xf numFmtId="41" fontId="1" fillId="0" borderId="44" xfId="2" applyFont="1" applyFill="1" applyBorder="1" applyAlignment="1">
      <alignment vertical="center"/>
    </xf>
    <xf numFmtId="181" fontId="1" fillId="0" borderId="44" xfId="1" applyNumberFormat="1" applyFont="1" applyFill="1" applyBorder="1" applyAlignment="1">
      <alignment vertical="center"/>
    </xf>
    <xf numFmtId="0" fontId="1" fillId="0" borderId="54" xfId="0" applyFont="1" applyFill="1" applyBorder="1" applyAlignment="1">
      <alignment vertical="center"/>
    </xf>
    <xf numFmtId="0" fontId="0" fillId="11" borderId="0" xfId="5" applyFont="1" applyFill="1">
      <alignment vertical="center"/>
    </xf>
    <xf numFmtId="0" fontId="12" fillId="6" borderId="42" xfId="5" applyFont="1" applyFill="1" applyBorder="1" applyAlignment="1">
      <alignment horizontal="center" vertical="center"/>
    </xf>
    <xf numFmtId="0" fontId="11" fillId="7" borderId="43" xfId="5" applyFont="1" applyFill="1" applyBorder="1" applyAlignment="1">
      <alignment horizontal="center" vertical="center"/>
    </xf>
    <xf numFmtId="0" fontId="0" fillId="0" borderId="0" xfId="5" applyFont="1">
      <alignment vertical="center"/>
    </xf>
    <xf numFmtId="58" fontId="12" fillId="0" borderId="0" xfId="5" applyNumberFormat="1" applyFont="1" applyAlignment="1">
      <alignment horizontal="center" vertical="center"/>
    </xf>
    <xf numFmtId="0" fontId="12" fillId="0" borderId="0" xfId="5" applyFont="1">
      <alignment vertical="center"/>
    </xf>
    <xf numFmtId="41" fontId="12" fillId="0" borderId="0" xfId="3" applyFont="1">
      <alignment vertical="center"/>
    </xf>
    <xf numFmtId="41" fontId="12" fillId="0" borderId="0" xfId="5" applyNumberFormat="1" applyFont="1">
      <alignment vertical="center"/>
    </xf>
    <xf numFmtId="0" fontId="29" fillId="13" borderId="44" xfId="0" applyFont="1" applyFill="1" applyBorder="1" applyAlignment="1">
      <alignment horizontal="center" vertical="center"/>
    </xf>
    <xf numFmtId="0" fontId="29" fillId="13" borderId="44" xfId="0" applyFont="1" applyFill="1" applyBorder="1" applyAlignment="1">
      <alignment horizontal="center" vertical="center"/>
    </xf>
    <xf numFmtId="0" fontId="31" fillId="0" borderId="0" xfId="0" applyFont="1"/>
    <xf numFmtId="0" fontId="32" fillId="0" borderId="0" xfId="0" applyFont="1"/>
    <xf numFmtId="0" fontId="33" fillId="0" borderId="0" xfId="0" applyFont="1" applyFill="1" applyAlignment="1" applyProtection="1">
      <alignment vertical="center"/>
      <protection locked="0"/>
    </xf>
    <xf numFmtId="0" fontId="21" fillId="0" borderId="0" xfId="0" applyFont="1" applyFill="1" applyAlignment="1" applyProtection="1">
      <alignment vertical="center"/>
      <protection locked="0"/>
    </xf>
    <xf numFmtId="0" fontId="0" fillId="0" borderId="0" xfId="0" applyProtection="1">
      <protection locked="0"/>
    </xf>
    <xf numFmtId="0" fontId="30" fillId="13" borderId="44" xfId="0" applyFont="1" applyFill="1" applyBorder="1" applyAlignment="1" applyProtection="1">
      <alignment horizontal="center" vertical="top" wrapText="1"/>
      <protection locked="0"/>
    </xf>
    <xf numFmtId="0" fontId="21" fillId="0" borderId="9" xfId="0" applyFont="1" applyFill="1" applyBorder="1" applyAlignment="1" applyProtection="1">
      <alignment horizontal="center" vertical="center"/>
      <protection locked="0"/>
    </xf>
    <xf numFmtId="179" fontId="21" fillId="0" borderId="9" xfId="2" applyNumberFormat="1" applyFont="1" applyFill="1" applyBorder="1" applyAlignment="1" applyProtection="1">
      <alignment horizontal="center" vertical="center"/>
      <protection locked="0"/>
    </xf>
    <xf numFmtId="0" fontId="21" fillId="14" borderId="9" xfId="0" applyFont="1" applyFill="1" applyBorder="1" applyAlignment="1" applyProtection="1">
      <alignment horizontal="center" vertical="center"/>
      <protection locked="0"/>
    </xf>
    <xf numFmtId="0" fontId="0" fillId="0" borderId="0" xfId="0" applyAlignment="1" applyProtection="1">
      <alignment vertical="center"/>
      <protection locked="0"/>
    </xf>
    <xf numFmtId="0" fontId="0" fillId="6" borderId="0" xfId="6" applyFont="1" applyFill="1">
      <alignment vertical="center"/>
    </xf>
    <xf numFmtId="0" fontId="29" fillId="13" borderId="44" xfId="0" applyFont="1" applyFill="1" applyBorder="1" applyAlignment="1">
      <alignment horizontal="center" vertical="center"/>
    </xf>
    <xf numFmtId="0" fontId="17" fillId="0" borderId="37" xfId="0" applyFont="1" applyBorder="1" applyAlignment="1">
      <alignment horizontal="center" vertical="center"/>
    </xf>
    <xf numFmtId="0" fontId="0" fillId="0" borderId="37" xfId="0" applyBorder="1" applyAlignment="1">
      <alignment horizontal="center" vertical="center"/>
    </xf>
    <xf numFmtId="58" fontId="11" fillId="0" borderId="0" xfId="5" applyNumberFormat="1" applyFont="1">
      <alignment vertical="center"/>
    </xf>
    <xf numFmtId="0" fontId="11" fillId="0" borderId="0" xfId="5" applyFont="1">
      <alignment vertical="center"/>
    </xf>
  </cellXfs>
  <cellStyles count="9">
    <cellStyle name="백분율" xfId="1" builtinId="5"/>
    <cellStyle name="쉼표 [0]" xfId="2" builtinId="6"/>
    <cellStyle name="쉼표 [0] 2" xfId="3"/>
    <cellStyle name="콤마 [0]_ADV" xfId="4"/>
    <cellStyle name="표준" xfId="0" builtinId="0"/>
    <cellStyle name="표준 2" xfId="5"/>
    <cellStyle name="표준_7.검색관리" xfId="6"/>
    <cellStyle name="표준_Sheet2" xfId="7"/>
    <cellStyle name="표준_인구이동" xfId="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Drop" dropStyle="combo" dx="20" fmlaLink="$D$9" fmlaRange="자료목록!$B$2:$B$10" noThreeD="1" sel="2" val="0"/>
</file>

<file path=xl/ctrlProps/ctrlProp10.xml><?xml version="1.0" encoding="utf-8"?>
<formControlPr xmlns="http://schemas.microsoft.com/office/spreadsheetml/2009/9/main" objectType="Drop" dropStyle="combo" dx="20" fmlaLink="$H$9" fmlaRange="자료목록!$E$2:$E$4" noThreeD="1" val="0"/>
</file>

<file path=xl/ctrlProps/ctrlProp11.xml><?xml version="1.0" encoding="utf-8"?>
<formControlPr xmlns="http://schemas.microsoft.com/office/spreadsheetml/2009/9/main" objectType="Radio" firstButton="1" fmlaLink="$H$4" lockText="1" noThreeD="1"/>
</file>

<file path=xl/ctrlProps/ctrlProp12.xml><?xml version="1.0" encoding="utf-8"?>
<formControlPr xmlns="http://schemas.microsoft.com/office/spreadsheetml/2009/9/main" objectType="Radio" checked="Checked" lockText="1" noThreeD="1"/>
</file>

<file path=xl/ctrlProps/ctrlProp13.xml><?xml version="1.0" encoding="utf-8"?>
<formControlPr xmlns="http://schemas.microsoft.com/office/spreadsheetml/2009/9/main" objectType="GBox" noThreeD="1"/>
</file>

<file path=xl/ctrlProps/ctrlProp14.xml><?xml version="1.0" encoding="utf-8"?>
<formControlPr xmlns="http://schemas.microsoft.com/office/spreadsheetml/2009/9/main" objectType="Radio" firstButton="1" fmlaLink="$I$4" lockText="1" noThreeD="1"/>
</file>

<file path=xl/ctrlProps/ctrlProp15.xml><?xml version="1.0" encoding="utf-8"?>
<formControlPr xmlns="http://schemas.microsoft.com/office/spreadsheetml/2009/9/main" objectType="GBox" noThreeD="1"/>
</file>

<file path=xl/ctrlProps/ctrlProp16.xml><?xml version="1.0" encoding="utf-8"?>
<formControlPr xmlns="http://schemas.microsoft.com/office/spreadsheetml/2009/9/main" objectType="Radio" checked="Checked" lockText="1" noThreeD="1"/>
</file>

<file path=xl/ctrlProps/ctrlProp17.xml><?xml version="1.0" encoding="utf-8"?>
<formControlPr xmlns="http://schemas.microsoft.com/office/spreadsheetml/2009/9/main" objectType="Radio" lockText="1" noThreeD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Radio" lockText="1" noThreeD="1"/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0</xdr:colOff>
      <xdr:row>5</xdr:row>
      <xdr:rowOff>55245</xdr:rowOff>
    </xdr:from>
    <xdr:to>
      <xdr:col>8</xdr:col>
      <xdr:colOff>0</xdr:colOff>
      <xdr:row>7</xdr:row>
      <xdr:rowOff>45</xdr:rowOff>
    </xdr:to>
    <xdr:sp macro="" textlink="">
      <xdr:nvSpPr>
        <xdr:cNvPr id="10" name="Rectangle 3"/>
        <xdr:cNvSpPr>
          <a:spLocks noChangeArrowheads="1"/>
        </xdr:cNvSpPr>
      </xdr:nvSpPr>
      <xdr:spPr bwMode="auto">
        <a:xfrm>
          <a:off x="3438525" y="990600"/>
          <a:ext cx="1371600" cy="209550"/>
        </a:xfrm>
        <a:prstGeom prst="rect">
          <a:avLst/>
        </a:prstGeom>
        <a:solidFill>
          <a:srgbClr val="FF0000"/>
        </a:solidFill>
        <a:ln w="19050">
          <a:solidFill>
            <a:srgbClr val="FFFFFF"/>
          </a:solidFill>
          <a:miter lim="800000"/>
          <a:headEnd/>
          <a:tailEnd/>
        </a:ln>
        <a:effectLst>
          <a:outerShdw dist="107763" dir="2700000" algn="ctr" rotWithShape="0">
            <a:srgbClr val="808080">
              <a:alpha val="50000"/>
            </a:srgbClr>
          </a:outerShdw>
        </a:effectLst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en-US" altLang="ko-KR" sz="1100" b="0" i="0" strike="noStrike">
              <a:solidFill>
                <a:srgbClr val="FFFFFF"/>
              </a:solidFill>
              <a:latin typeface="굴림"/>
              <a:ea typeface="굴림"/>
            </a:rPr>
            <a:t>=PI()*E4^2</a:t>
          </a:r>
        </a:p>
      </xdr:txBody>
    </xdr:sp>
    <xdr:clientData/>
  </xdr:twoCellAnchor>
  <xdr:twoCellAnchor>
    <xdr:from>
      <xdr:col>5</xdr:col>
      <xdr:colOff>7620</xdr:colOff>
      <xdr:row>6</xdr:row>
      <xdr:rowOff>91440</xdr:rowOff>
    </xdr:from>
    <xdr:to>
      <xdr:col>5</xdr:col>
      <xdr:colOff>335280</xdr:colOff>
      <xdr:row>6</xdr:row>
      <xdr:rowOff>91440</xdr:rowOff>
    </xdr:to>
    <xdr:sp macro="" textlink="">
      <xdr:nvSpPr>
        <xdr:cNvPr id="5138" name="Line 4"/>
        <xdr:cNvSpPr>
          <a:spLocks noChangeShapeType="1"/>
        </xdr:cNvSpPr>
      </xdr:nvSpPr>
      <xdr:spPr bwMode="auto">
        <a:xfrm flipH="1">
          <a:off x="2705100" y="1188720"/>
          <a:ext cx="327660" cy="0"/>
        </a:xfrm>
        <a:prstGeom prst="line">
          <a:avLst/>
        </a:prstGeom>
        <a:noFill/>
        <a:ln w="22225">
          <a:solidFill>
            <a:srgbClr val="FF0000"/>
          </a:solidFill>
          <a:prstDash val="sysDot"/>
          <a:round/>
          <a:headEnd/>
          <a:tailEnd type="oval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6</xdr:col>
      <xdr:colOff>1</xdr:colOff>
      <xdr:row>7</xdr:row>
      <xdr:rowOff>93344</xdr:rowOff>
    </xdr:from>
    <xdr:to>
      <xdr:col>8</xdr:col>
      <xdr:colOff>472441</xdr:colOff>
      <xdr:row>9</xdr:row>
      <xdr:rowOff>28667</xdr:rowOff>
    </xdr:to>
    <xdr:sp macro="" textlink="">
      <xdr:nvSpPr>
        <xdr:cNvPr id="12" name="Rectangle 6"/>
        <xdr:cNvSpPr>
          <a:spLocks noChangeArrowheads="1"/>
        </xdr:cNvSpPr>
      </xdr:nvSpPr>
      <xdr:spPr bwMode="auto">
        <a:xfrm>
          <a:off x="3438526" y="1285874"/>
          <a:ext cx="1905000" cy="200025"/>
        </a:xfrm>
        <a:prstGeom prst="rect">
          <a:avLst/>
        </a:prstGeom>
        <a:solidFill>
          <a:srgbClr val="FF0000"/>
        </a:solidFill>
        <a:ln w="19050">
          <a:solidFill>
            <a:srgbClr val="FFFFFF"/>
          </a:solidFill>
          <a:miter lim="800000"/>
          <a:headEnd/>
          <a:tailEnd/>
        </a:ln>
        <a:effectLst>
          <a:outerShdw dist="107763" dir="2700000" algn="ctr" rotWithShape="0">
            <a:srgbClr val="808080">
              <a:alpha val="50000"/>
            </a:srgbClr>
          </a:outerShdw>
        </a:effectLst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en-US" altLang="ko-KR" sz="1100" b="0" i="0" strike="noStrike">
              <a:solidFill>
                <a:srgbClr val="FFFFFF"/>
              </a:solidFill>
              <a:latin typeface="굴림"/>
              <a:ea typeface="굴림"/>
            </a:rPr>
            <a:t>=SQRT(E4^2+E6^2)*E14/2</a:t>
          </a:r>
        </a:p>
      </xdr:txBody>
    </xdr:sp>
    <xdr:clientData/>
  </xdr:twoCellAnchor>
  <xdr:twoCellAnchor>
    <xdr:from>
      <xdr:col>5</xdr:col>
      <xdr:colOff>7620</xdr:colOff>
      <xdr:row>8</xdr:row>
      <xdr:rowOff>91440</xdr:rowOff>
    </xdr:from>
    <xdr:to>
      <xdr:col>5</xdr:col>
      <xdr:colOff>335280</xdr:colOff>
      <xdr:row>8</xdr:row>
      <xdr:rowOff>91440</xdr:rowOff>
    </xdr:to>
    <xdr:sp macro="" textlink="">
      <xdr:nvSpPr>
        <xdr:cNvPr id="5140" name="Line 7"/>
        <xdr:cNvSpPr>
          <a:spLocks noChangeShapeType="1"/>
        </xdr:cNvSpPr>
      </xdr:nvSpPr>
      <xdr:spPr bwMode="auto">
        <a:xfrm flipH="1">
          <a:off x="2705100" y="1554480"/>
          <a:ext cx="327660" cy="0"/>
        </a:xfrm>
        <a:prstGeom prst="line">
          <a:avLst/>
        </a:prstGeom>
        <a:noFill/>
        <a:ln w="22225">
          <a:solidFill>
            <a:srgbClr val="FF0000"/>
          </a:solidFill>
          <a:prstDash val="sysDot"/>
          <a:round/>
          <a:headEnd/>
          <a:tailEnd type="oval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6</xdr:col>
      <xdr:colOff>0</xdr:colOff>
      <xdr:row>9</xdr:row>
      <xdr:rowOff>83820</xdr:rowOff>
    </xdr:from>
    <xdr:to>
      <xdr:col>8</xdr:col>
      <xdr:colOff>0</xdr:colOff>
      <xdr:row>11</xdr:row>
      <xdr:rowOff>19143</xdr:rowOff>
    </xdr:to>
    <xdr:sp macro="" textlink="">
      <xdr:nvSpPr>
        <xdr:cNvPr id="14" name="Rectangle 8"/>
        <xdr:cNvSpPr>
          <a:spLocks noChangeArrowheads="1"/>
        </xdr:cNvSpPr>
      </xdr:nvSpPr>
      <xdr:spPr bwMode="auto">
        <a:xfrm>
          <a:off x="3438525" y="1533525"/>
          <a:ext cx="1371600" cy="200025"/>
        </a:xfrm>
        <a:prstGeom prst="rect">
          <a:avLst/>
        </a:prstGeom>
        <a:solidFill>
          <a:srgbClr val="FF0000"/>
        </a:solidFill>
        <a:ln w="19050">
          <a:solidFill>
            <a:srgbClr val="FFFFFF"/>
          </a:solidFill>
          <a:miter lim="800000"/>
          <a:headEnd/>
          <a:tailEnd/>
        </a:ln>
        <a:effectLst>
          <a:outerShdw dist="107763" dir="2700000" algn="ctr" rotWithShape="0">
            <a:srgbClr val="808080">
              <a:alpha val="50000"/>
            </a:srgbClr>
          </a:outerShdw>
        </a:effectLst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en-US" altLang="ko-KR" sz="1100" b="0" i="0" strike="noStrike">
              <a:solidFill>
                <a:srgbClr val="FFFFFF"/>
              </a:solidFill>
              <a:latin typeface="굴림"/>
              <a:ea typeface="굴림"/>
            </a:rPr>
            <a:t>=E8+E10</a:t>
          </a:r>
        </a:p>
      </xdr:txBody>
    </xdr:sp>
    <xdr:clientData/>
  </xdr:twoCellAnchor>
  <xdr:twoCellAnchor>
    <xdr:from>
      <xdr:col>5</xdr:col>
      <xdr:colOff>7620</xdr:colOff>
      <xdr:row>10</xdr:row>
      <xdr:rowOff>114300</xdr:rowOff>
    </xdr:from>
    <xdr:to>
      <xdr:col>5</xdr:col>
      <xdr:colOff>335280</xdr:colOff>
      <xdr:row>10</xdr:row>
      <xdr:rowOff>114300</xdr:rowOff>
    </xdr:to>
    <xdr:sp macro="" textlink="">
      <xdr:nvSpPr>
        <xdr:cNvPr id="5142" name="Line 9"/>
        <xdr:cNvSpPr>
          <a:spLocks noChangeShapeType="1"/>
        </xdr:cNvSpPr>
      </xdr:nvSpPr>
      <xdr:spPr bwMode="auto">
        <a:xfrm flipH="1">
          <a:off x="2705100" y="1943100"/>
          <a:ext cx="327660" cy="0"/>
        </a:xfrm>
        <a:prstGeom prst="line">
          <a:avLst/>
        </a:prstGeom>
        <a:noFill/>
        <a:ln w="22225">
          <a:solidFill>
            <a:srgbClr val="FF0000"/>
          </a:solidFill>
          <a:prstDash val="sysDot"/>
          <a:round/>
          <a:headEnd/>
          <a:tailEnd type="oval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6</xdr:col>
      <xdr:colOff>0</xdr:colOff>
      <xdr:row>11</xdr:row>
      <xdr:rowOff>57150</xdr:rowOff>
    </xdr:from>
    <xdr:to>
      <xdr:col>8</xdr:col>
      <xdr:colOff>0</xdr:colOff>
      <xdr:row>13</xdr:row>
      <xdr:rowOff>19050</xdr:rowOff>
    </xdr:to>
    <xdr:sp macro="" textlink="">
      <xdr:nvSpPr>
        <xdr:cNvPr id="16" name="Rectangle 10"/>
        <xdr:cNvSpPr>
          <a:spLocks noChangeArrowheads="1"/>
        </xdr:cNvSpPr>
      </xdr:nvSpPr>
      <xdr:spPr bwMode="auto">
        <a:xfrm>
          <a:off x="3438525" y="1771650"/>
          <a:ext cx="1371600" cy="219075"/>
        </a:xfrm>
        <a:prstGeom prst="rect">
          <a:avLst/>
        </a:prstGeom>
        <a:solidFill>
          <a:srgbClr val="FF0000"/>
        </a:solidFill>
        <a:ln w="19050">
          <a:solidFill>
            <a:srgbClr val="FFFFFF"/>
          </a:solidFill>
          <a:miter lim="800000"/>
          <a:headEnd/>
          <a:tailEnd/>
        </a:ln>
        <a:effectLst>
          <a:outerShdw dist="107763" dir="2700000" algn="ctr" rotWithShape="0">
            <a:srgbClr val="808080">
              <a:alpha val="50000"/>
            </a:srgbClr>
          </a:outerShdw>
        </a:effectLst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en-US" altLang="ko-KR" sz="1100" b="0" i="0" strike="noStrike">
              <a:solidFill>
                <a:srgbClr val="FFFFFF"/>
              </a:solidFill>
              <a:latin typeface="굴림"/>
              <a:ea typeface="굴림"/>
            </a:rPr>
            <a:t>=2*PI()*E4^2</a:t>
          </a:r>
        </a:p>
      </xdr:txBody>
    </xdr:sp>
    <xdr:clientData/>
  </xdr:twoCellAnchor>
  <xdr:twoCellAnchor>
    <xdr:from>
      <xdr:col>5</xdr:col>
      <xdr:colOff>7620</xdr:colOff>
      <xdr:row>12</xdr:row>
      <xdr:rowOff>91440</xdr:rowOff>
    </xdr:from>
    <xdr:to>
      <xdr:col>5</xdr:col>
      <xdr:colOff>335280</xdr:colOff>
      <xdr:row>12</xdr:row>
      <xdr:rowOff>91440</xdr:rowOff>
    </xdr:to>
    <xdr:sp macro="" textlink="">
      <xdr:nvSpPr>
        <xdr:cNvPr id="5144" name="Line 11"/>
        <xdr:cNvSpPr>
          <a:spLocks noChangeShapeType="1"/>
        </xdr:cNvSpPr>
      </xdr:nvSpPr>
      <xdr:spPr bwMode="auto">
        <a:xfrm flipH="1">
          <a:off x="2705100" y="2286000"/>
          <a:ext cx="327660" cy="0"/>
        </a:xfrm>
        <a:prstGeom prst="line">
          <a:avLst/>
        </a:prstGeom>
        <a:noFill/>
        <a:ln w="22225">
          <a:solidFill>
            <a:srgbClr val="FF0000"/>
          </a:solidFill>
          <a:prstDash val="sysDot"/>
          <a:round/>
          <a:headEnd/>
          <a:tailEnd type="oval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411480</xdr:colOff>
          <xdr:row>2</xdr:row>
          <xdr:rowOff>22860</xdr:rowOff>
        </xdr:from>
        <xdr:to>
          <xdr:col>9</xdr:col>
          <xdr:colOff>640080</xdr:colOff>
          <xdr:row>5</xdr:row>
          <xdr:rowOff>129540</xdr:rowOff>
        </xdr:to>
        <xdr:sp macro="" textlink="">
          <xdr:nvSpPr>
            <xdr:cNvPr id="10242" name="Button 2" hidden="1">
              <a:extLst>
                <a:ext uri="{63B3BB69-23CF-44E3-9099-C40C66FF867C}">
                  <a14:compatExt spid="_x0000_s1024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돋움"/>
                  <a:ea typeface="돋움"/>
                </a:rPr>
                <a:t>상대참조 매크로 실행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419100</xdr:colOff>
          <xdr:row>7</xdr:row>
          <xdr:rowOff>45720</xdr:rowOff>
        </xdr:from>
        <xdr:to>
          <xdr:col>9</xdr:col>
          <xdr:colOff>662940</xdr:colOff>
          <xdr:row>11</xdr:row>
          <xdr:rowOff>22860</xdr:rowOff>
        </xdr:to>
        <xdr:sp macro="" textlink="">
          <xdr:nvSpPr>
            <xdr:cNvPr id="10243" name="Button 3" hidden="1">
              <a:extLst>
                <a:ext uri="{63B3BB69-23CF-44E3-9099-C40C66FF867C}">
                  <a14:compatExt spid="_x0000_s1024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돋움"/>
                  <a:ea typeface="돋움"/>
                </a:rPr>
                <a:t>단추 </a:t>
              </a:r>
              <a:r>
                <a:rPr lang="en-US" altLang="ko-KR" sz="1100" b="0" i="0" u="none" strike="noStrike" baseline="0">
                  <a:solidFill>
                    <a:srgbClr val="000000"/>
                  </a:solidFill>
                  <a:latin typeface="돋움"/>
                  <a:ea typeface="돋움"/>
                </a:rPr>
                <a:t>3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541020</xdr:colOff>
          <xdr:row>0</xdr:row>
          <xdr:rowOff>175260</xdr:rowOff>
        </xdr:from>
        <xdr:to>
          <xdr:col>9</xdr:col>
          <xdr:colOff>579120</xdr:colOff>
          <xdr:row>3</xdr:row>
          <xdr:rowOff>121920</xdr:rowOff>
        </xdr:to>
        <xdr:sp macro="" textlink="">
          <xdr:nvSpPr>
            <xdr:cNvPr id="11265" name="Button 1" hidden="1">
              <a:extLst>
                <a:ext uri="{63B3BB69-23CF-44E3-9099-C40C66FF867C}">
                  <a14:compatExt spid="_x0000_s1126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돋움"/>
                  <a:ea typeface="돋움"/>
                </a:rPr>
                <a:t>단추 </a:t>
              </a:r>
              <a:r>
                <a:rPr lang="en-US" altLang="ko-KR" sz="1100" b="0" i="0" u="none" strike="noStrike" baseline="0">
                  <a:solidFill>
                    <a:srgbClr val="000000"/>
                  </a:solidFill>
                  <a:latin typeface="돋움"/>
                  <a:ea typeface="돋움"/>
                </a:rPr>
                <a:t>1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617220</xdr:colOff>
          <xdr:row>3</xdr:row>
          <xdr:rowOff>83820</xdr:rowOff>
        </xdr:from>
        <xdr:to>
          <xdr:col>12</xdr:col>
          <xdr:colOff>0</xdr:colOff>
          <xdr:row>7</xdr:row>
          <xdr:rowOff>30480</xdr:rowOff>
        </xdr:to>
        <xdr:sp macro="" textlink="">
          <xdr:nvSpPr>
            <xdr:cNvPr id="12289" name="Button 1" hidden="1">
              <a:extLst>
                <a:ext uri="{63B3BB69-23CF-44E3-9099-C40C66FF867C}">
                  <a14:compatExt spid="_x0000_s1228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돋움"/>
                  <a:ea typeface="돋움"/>
                </a:rPr>
                <a:t>단추 </a:t>
              </a:r>
              <a:r>
                <a:rPr lang="en-US" altLang="ko-KR" sz="1100" b="0" i="0" u="none" strike="noStrike" baseline="0">
                  <a:solidFill>
                    <a:srgbClr val="000000"/>
                  </a:solidFill>
                  <a:latin typeface="돋움"/>
                  <a:ea typeface="돋움"/>
                </a:rPr>
                <a:t>1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146685</xdr:colOff>
      <xdr:row>1</xdr:row>
      <xdr:rowOff>133350</xdr:rowOff>
    </xdr:from>
    <xdr:to>
      <xdr:col>4</xdr:col>
      <xdr:colOff>236232</xdr:colOff>
      <xdr:row>4</xdr:row>
      <xdr:rowOff>163830</xdr:rowOff>
    </xdr:to>
    <xdr:sp macro="" textlink="">
      <xdr:nvSpPr>
        <xdr:cNvPr id="1025" name="WordArt 1"/>
        <xdr:cNvSpPr>
          <a:spLocks noChangeArrowheads="1" noChangeShapeType="1" noTextEdit="1"/>
        </xdr:cNvSpPr>
      </xdr:nvSpPr>
      <xdr:spPr bwMode="auto">
        <a:xfrm>
          <a:off x="161925" y="314325"/>
          <a:ext cx="2686050" cy="638175"/>
        </a:xfrm>
        <a:prstGeom prst="rect">
          <a:avLst/>
        </a:prstGeom>
      </xdr:spPr>
      <xdr:txBody>
        <a:bodyPr wrap="none" fromWordArt="1">
          <a:prstTxWarp prst="textFadeUp">
            <a:avLst>
              <a:gd name="adj" fmla="val 9991"/>
            </a:avLst>
          </a:prstTxWarp>
        </a:bodyPr>
        <a:lstStyle/>
        <a:p>
          <a:pPr algn="ctr" rtl="0"/>
          <a:r>
            <a:rPr lang="ko-KR" altLang="en-US" sz="3600" kern="10" spc="0">
              <a:ln w="12700">
                <a:solidFill>
                  <a:srgbClr val="B2B2B2"/>
                </a:solidFill>
                <a:round/>
                <a:headEnd/>
                <a:tailEnd/>
              </a:ln>
              <a:gradFill rotWithShape="1">
                <a:gsLst>
                  <a:gs pos="0">
                    <a:srgbClr val="520402"/>
                  </a:gs>
                  <a:gs pos="100000">
                    <a:srgbClr val="FFCC00"/>
                  </a:gs>
                </a:gsLst>
                <a:lin ang="5400000" scaled="1"/>
              </a:gradFill>
              <a:effectLst>
                <a:outerShdw dist="35921" dir="2700000" sy="50000" rotWithShape="0">
                  <a:srgbClr val="875B0D">
                    <a:alpha val="70000"/>
                  </a:srgbClr>
                </a:outerShdw>
              </a:effectLst>
              <a:latin typeface="HY견고딕"/>
              <a:ea typeface="HY견고딕"/>
            </a:rPr>
            <a:t>사원 실적 현황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190500</xdr:colOff>
          <xdr:row>2</xdr:row>
          <xdr:rowOff>99060</xdr:rowOff>
        </xdr:from>
        <xdr:to>
          <xdr:col>14</xdr:col>
          <xdr:colOff>121920</xdr:colOff>
          <xdr:row>5</xdr:row>
          <xdr:rowOff>160020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돋움"/>
                  <a:ea typeface="돋움"/>
                </a:rPr>
                <a:t>단추 </a:t>
              </a:r>
              <a:r>
                <a:rPr lang="en-US" altLang="ko-KR" sz="1100" b="0" i="0" u="none" strike="noStrike" baseline="0">
                  <a:solidFill>
                    <a:srgbClr val="000000"/>
                  </a:solidFill>
                  <a:latin typeface="돋움"/>
                  <a:ea typeface="돋움"/>
                </a:rPr>
                <a:t>9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68580</xdr:colOff>
      <xdr:row>1</xdr:row>
      <xdr:rowOff>180975</xdr:rowOff>
    </xdr:from>
    <xdr:to>
      <xdr:col>5</xdr:col>
      <xdr:colOff>47631</xdr:colOff>
      <xdr:row>5</xdr:row>
      <xdr:rowOff>11453</xdr:rowOff>
    </xdr:to>
    <xdr:sp macro="" textlink="">
      <xdr:nvSpPr>
        <xdr:cNvPr id="2" name="WordArt 1"/>
        <xdr:cNvSpPr>
          <a:spLocks noChangeArrowheads="1" noChangeShapeType="1" noTextEdit="1"/>
        </xdr:cNvSpPr>
      </xdr:nvSpPr>
      <xdr:spPr bwMode="auto">
        <a:xfrm>
          <a:off x="571500" y="352425"/>
          <a:ext cx="2686050" cy="638175"/>
        </a:xfrm>
        <a:prstGeom prst="rect">
          <a:avLst/>
        </a:prstGeom>
      </xdr:spPr>
      <xdr:txBody>
        <a:bodyPr wrap="none" fromWordArt="1">
          <a:prstTxWarp prst="textFadeUp">
            <a:avLst>
              <a:gd name="adj" fmla="val 9991"/>
            </a:avLst>
          </a:prstTxWarp>
        </a:bodyPr>
        <a:lstStyle/>
        <a:p>
          <a:pPr algn="ctr" rtl="0"/>
          <a:r>
            <a:rPr lang="ko-KR" altLang="en-US" sz="3600" kern="10" spc="0">
              <a:ln w="12700">
                <a:solidFill>
                  <a:srgbClr val="B2B2B2"/>
                </a:solidFill>
                <a:round/>
                <a:headEnd/>
                <a:tailEnd/>
              </a:ln>
              <a:gradFill rotWithShape="1">
                <a:gsLst>
                  <a:gs pos="0">
                    <a:srgbClr val="520402"/>
                  </a:gs>
                  <a:gs pos="100000">
                    <a:srgbClr val="FFCC00"/>
                  </a:gs>
                </a:gsLst>
                <a:lin ang="5400000" scaled="1"/>
              </a:gradFill>
              <a:effectLst>
                <a:outerShdw dist="35921" dir="2700000" sy="50000" rotWithShape="0">
                  <a:srgbClr val="875B0D">
                    <a:alpha val="70000"/>
                  </a:srgbClr>
                </a:outerShdw>
              </a:effectLst>
              <a:latin typeface="HY견고딕"/>
              <a:ea typeface="HY견고딕"/>
            </a:rPr>
            <a:t>사원 실적 현황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198120</xdr:colOff>
      <xdr:row>0</xdr:row>
      <xdr:rowOff>106680</xdr:rowOff>
    </xdr:from>
    <xdr:to>
      <xdr:col>4</xdr:col>
      <xdr:colOff>556260</xdr:colOff>
      <xdr:row>0</xdr:row>
      <xdr:rowOff>510540</xdr:rowOff>
    </xdr:to>
    <xdr:sp macro="" textlink="">
      <xdr:nvSpPr>
        <xdr:cNvPr id="3078" name="Rectangle 2"/>
        <xdr:cNvSpPr>
          <a:spLocks noChangeArrowheads="1"/>
        </xdr:cNvSpPr>
      </xdr:nvSpPr>
      <xdr:spPr bwMode="auto">
        <a:xfrm>
          <a:off x="960120" y="106680"/>
          <a:ext cx="2811780" cy="40386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63500" dir="2212194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617220</xdr:colOff>
          <xdr:row>3</xdr:row>
          <xdr:rowOff>22860</xdr:rowOff>
        </xdr:from>
        <xdr:to>
          <xdr:col>13</xdr:col>
          <xdr:colOff>419100</xdr:colOff>
          <xdr:row>5</xdr:row>
          <xdr:rowOff>190500</xdr:rowOff>
        </xdr:to>
        <xdr:sp macro="" textlink="">
          <xdr:nvSpPr>
            <xdr:cNvPr id="13314" name="Button 2" hidden="1">
              <a:extLst>
                <a:ext uri="{63B3BB69-23CF-44E3-9099-C40C66FF867C}">
                  <a14:compatExt spid="_x0000_s1331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돋움"/>
                  <a:ea typeface="돋움"/>
                </a:rPr>
                <a:t>단추 </a:t>
              </a:r>
              <a:r>
                <a:rPr lang="en-US" altLang="ko-KR" sz="1100" b="0" i="0" u="none" strike="noStrike" baseline="0">
                  <a:solidFill>
                    <a:srgbClr val="000000"/>
                  </a:solidFill>
                  <a:latin typeface="돋움"/>
                  <a:ea typeface="돋움"/>
                </a:rPr>
                <a:t>2</a:t>
              </a:r>
            </a:p>
          </xdr:txBody>
        </xdr:sp>
        <xdr:clientData fPrintsWithSheet="0"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22860</xdr:colOff>
          <xdr:row>0</xdr:row>
          <xdr:rowOff>160020</xdr:rowOff>
        </xdr:from>
        <xdr:to>
          <xdr:col>9</xdr:col>
          <xdr:colOff>1303020</xdr:colOff>
          <xdr:row>3</xdr:row>
          <xdr:rowOff>38100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ko-KR" altLang="en-US" sz="1000" b="1" i="0" u="none" strike="noStrike" baseline="0">
                  <a:solidFill>
                    <a:srgbClr val="000000"/>
                  </a:solidFill>
                  <a:latin typeface="돋움"/>
                  <a:ea typeface="돋움"/>
                </a:rPr>
                <a:t>검                색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22860</xdr:colOff>
          <xdr:row>3</xdr:row>
          <xdr:rowOff>83820</xdr:rowOff>
        </xdr:from>
        <xdr:to>
          <xdr:col>9</xdr:col>
          <xdr:colOff>1303020</xdr:colOff>
          <xdr:row>5</xdr:row>
          <xdr:rowOff>144780</xdr:rowOff>
        </xdr:to>
        <xdr:sp macro="" textlink="">
          <xdr:nvSpPr>
            <xdr:cNvPr id="6146" name="Button 2" hidden="1">
              <a:extLst>
                <a:ext uri="{63B3BB69-23CF-44E3-9099-C40C66FF867C}">
                  <a14:compatExt spid="_x0000_s614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ko-KR" altLang="en-US" sz="1000" b="1" i="0" u="none" strike="noStrike" baseline="0">
                  <a:solidFill>
                    <a:srgbClr val="000000"/>
                  </a:solidFill>
                  <a:latin typeface="돋움"/>
                  <a:ea typeface="돋움"/>
                </a:rPr>
                <a:t>모든 데이터 표시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</xdr:row>
          <xdr:rowOff>0</xdr:rowOff>
        </xdr:from>
        <xdr:to>
          <xdr:col>3</xdr:col>
          <xdr:colOff>15240</xdr:colOff>
          <xdr:row>2</xdr:row>
          <xdr:rowOff>22860</xdr:rowOff>
        </xdr:to>
        <xdr:sp macro="" textlink="">
          <xdr:nvSpPr>
            <xdr:cNvPr id="6147" name="Drop Down 3" hidden="1">
              <a:extLst>
                <a:ext uri="{63B3BB69-23CF-44E3-9099-C40C66FF867C}">
                  <a14:compatExt spid="_x0000_s614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38100</xdr:colOff>
          <xdr:row>1</xdr:row>
          <xdr:rowOff>7620</xdr:rowOff>
        </xdr:from>
        <xdr:to>
          <xdr:col>6</xdr:col>
          <xdr:colOff>937260</xdr:colOff>
          <xdr:row>2</xdr:row>
          <xdr:rowOff>22860</xdr:rowOff>
        </xdr:to>
        <xdr:sp macro="" textlink="">
          <xdr:nvSpPr>
            <xdr:cNvPr id="6148" name="Drop Down 4" hidden="1">
              <a:extLst>
                <a:ext uri="{63B3BB69-23CF-44E3-9099-C40C66FF867C}">
                  <a14:compatExt spid="_x0000_s614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121920</xdr:colOff>
          <xdr:row>1</xdr:row>
          <xdr:rowOff>99060</xdr:rowOff>
        </xdr:from>
        <xdr:to>
          <xdr:col>2</xdr:col>
          <xdr:colOff>91440</xdr:colOff>
          <xdr:row>2</xdr:row>
          <xdr:rowOff>144780</xdr:rowOff>
        </xdr:to>
        <xdr:sp macro="" textlink="">
          <xdr:nvSpPr>
            <xdr:cNvPr id="7169" name="Option Button 1" hidden="1">
              <a:extLst>
                <a:ext uri="{63B3BB69-23CF-44E3-9099-C40C66FF867C}">
                  <a14:compatExt spid="_x0000_s716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ko-KR" altLang="en-US" sz="900" b="0" i="0" u="none" strike="noStrike" baseline="0">
                  <a:solidFill>
                    <a:srgbClr val="000000"/>
                  </a:solidFill>
                  <a:latin typeface="굴림"/>
                  <a:ea typeface="굴림"/>
                </a:rPr>
                <a:t> 거래처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121920</xdr:colOff>
          <xdr:row>3</xdr:row>
          <xdr:rowOff>60960</xdr:rowOff>
        </xdr:from>
        <xdr:to>
          <xdr:col>2</xdr:col>
          <xdr:colOff>91440</xdr:colOff>
          <xdr:row>4</xdr:row>
          <xdr:rowOff>99060</xdr:rowOff>
        </xdr:to>
        <xdr:sp macro="" textlink="">
          <xdr:nvSpPr>
            <xdr:cNvPr id="7170" name="Option Button 2" hidden="1">
              <a:extLst>
                <a:ext uri="{63B3BB69-23CF-44E3-9099-C40C66FF867C}">
                  <a14:compatExt spid="_x0000_s717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ko-KR" altLang="en-US" sz="900" b="0" i="0" u="none" strike="noStrike" baseline="0">
                  <a:solidFill>
                    <a:srgbClr val="000000"/>
                  </a:solidFill>
                  <a:latin typeface="굴림"/>
                  <a:ea typeface="굴림"/>
                </a:rPr>
                <a:t> 품   명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30480</xdr:colOff>
          <xdr:row>0</xdr:row>
          <xdr:rowOff>91440</xdr:rowOff>
        </xdr:from>
        <xdr:to>
          <xdr:col>2</xdr:col>
          <xdr:colOff>213360</xdr:colOff>
          <xdr:row>5</xdr:row>
          <xdr:rowOff>60960</xdr:rowOff>
        </xdr:to>
        <xdr:sp macro="" textlink="">
          <xdr:nvSpPr>
            <xdr:cNvPr id="7171" name="Group Box 3" hidden="1">
              <a:extLst>
                <a:ext uri="{63B3BB69-23CF-44E3-9099-C40C66FF867C}">
                  <a14:compatExt spid="_x0000_s717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ko-KR" altLang="en-US" sz="900" b="0" i="0" u="none" strike="noStrike" baseline="0">
                  <a:solidFill>
                    <a:srgbClr val="000000"/>
                  </a:solidFill>
                  <a:latin typeface="굴림"/>
                  <a:ea typeface="굴림"/>
                </a:rPr>
                <a:t>그룹 선택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30480</xdr:colOff>
          <xdr:row>3</xdr:row>
          <xdr:rowOff>60960</xdr:rowOff>
        </xdr:from>
        <xdr:to>
          <xdr:col>3</xdr:col>
          <xdr:colOff>685800</xdr:colOff>
          <xdr:row>4</xdr:row>
          <xdr:rowOff>99060</xdr:rowOff>
        </xdr:to>
        <xdr:sp macro="" textlink="">
          <xdr:nvSpPr>
            <xdr:cNvPr id="7173" name="Option Button 5" hidden="1">
              <a:extLst>
                <a:ext uri="{63B3BB69-23CF-44E3-9099-C40C66FF867C}">
                  <a14:compatExt spid="_x0000_s717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ko-KR" altLang="en-US" sz="900" b="0" i="0" u="none" strike="noStrike" baseline="0">
                  <a:solidFill>
                    <a:srgbClr val="000000"/>
                  </a:solidFill>
                  <a:latin typeface="굴림"/>
                  <a:ea typeface="굴림"/>
                </a:rPr>
                <a:t> 평   균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708660</xdr:colOff>
          <xdr:row>0</xdr:row>
          <xdr:rowOff>91440</xdr:rowOff>
        </xdr:from>
        <xdr:to>
          <xdr:col>5</xdr:col>
          <xdr:colOff>160020</xdr:colOff>
          <xdr:row>5</xdr:row>
          <xdr:rowOff>60960</xdr:rowOff>
        </xdr:to>
        <xdr:sp macro="" textlink="">
          <xdr:nvSpPr>
            <xdr:cNvPr id="7174" name="Group Box 6" hidden="1">
              <a:extLst>
                <a:ext uri="{63B3BB69-23CF-44E3-9099-C40C66FF867C}">
                  <a14:compatExt spid="_x0000_s717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ko-KR" altLang="en-US" sz="900" b="0" i="0" u="none" strike="noStrike" baseline="0">
                  <a:solidFill>
                    <a:srgbClr val="000000"/>
                  </a:solidFill>
                  <a:latin typeface="굴림"/>
                  <a:ea typeface="굴림"/>
                </a:rPr>
                <a:t>계산 함수 선택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80234</xdr:colOff>
          <xdr:row>1</xdr:row>
          <xdr:rowOff>134919</xdr:rowOff>
        </xdr:from>
        <xdr:to>
          <xdr:col>5</xdr:col>
          <xdr:colOff>49754</xdr:colOff>
          <xdr:row>3</xdr:row>
          <xdr:rowOff>1345</xdr:rowOff>
        </xdr:to>
        <xdr:sp macro="" textlink="">
          <xdr:nvSpPr>
            <xdr:cNvPr id="7175" name="Option Button 7" hidden="1">
              <a:extLst>
                <a:ext uri="{63B3BB69-23CF-44E3-9099-C40C66FF867C}">
                  <a14:compatExt spid="_x0000_s717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ko-KR" altLang="en-US" sz="900" b="0" i="0" u="none" strike="noStrike" baseline="0">
                  <a:solidFill>
                    <a:srgbClr val="000000"/>
                  </a:solidFill>
                  <a:latin typeface="굴림"/>
                  <a:ea typeface="굴림"/>
                </a:rPr>
                <a:t>최대값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44376</xdr:colOff>
          <xdr:row>3</xdr:row>
          <xdr:rowOff>51995</xdr:rowOff>
        </xdr:from>
        <xdr:to>
          <xdr:col>5</xdr:col>
          <xdr:colOff>13896</xdr:colOff>
          <xdr:row>4</xdr:row>
          <xdr:rowOff>90095</xdr:rowOff>
        </xdr:to>
        <xdr:sp macro="" textlink="">
          <xdr:nvSpPr>
            <xdr:cNvPr id="7176" name="Option Button 8" hidden="1">
              <a:extLst>
                <a:ext uri="{63B3BB69-23CF-44E3-9099-C40C66FF867C}">
                  <a14:compatExt spid="_x0000_s717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ko-KR" altLang="en-US" sz="900" b="0" i="0" u="none" strike="noStrike" baseline="0">
                  <a:solidFill>
                    <a:srgbClr val="000000"/>
                  </a:solidFill>
                  <a:latin typeface="굴림"/>
                  <a:ea typeface="굴림"/>
                </a:rPr>
                <a:t> 최소값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441960</xdr:colOff>
          <xdr:row>0</xdr:row>
          <xdr:rowOff>144780</xdr:rowOff>
        </xdr:from>
        <xdr:to>
          <xdr:col>7</xdr:col>
          <xdr:colOff>121920</xdr:colOff>
          <xdr:row>2</xdr:row>
          <xdr:rowOff>68580</xdr:rowOff>
        </xdr:to>
        <xdr:sp macro="" textlink="">
          <xdr:nvSpPr>
            <xdr:cNvPr id="7177" name="Button 9" hidden="1">
              <a:extLst>
                <a:ext uri="{63B3BB69-23CF-44E3-9099-C40C66FF867C}">
                  <a14:compatExt spid="_x0000_s717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ko-KR" altLang="en-US" sz="1000" b="1" i="0" u="none" strike="noStrike" baseline="0">
                  <a:solidFill>
                    <a:srgbClr val="0000FF"/>
                  </a:solidFill>
                  <a:latin typeface="굴림"/>
                  <a:ea typeface="굴림"/>
                </a:rPr>
                <a:t>부분합</a:t>
              </a:r>
              <a:r>
                <a:rPr lang="ko-KR" altLang="en-US" sz="1000" b="0" i="0" u="none" strike="noStrike" baseline="0">
                  <a:solidFill>
                    <a:srgbClr val="000000"/>
                  </a:solidFill>
                  <a:latin typeface="굴림"/>
                  <a:ea typeface="굴림"/>
                </a:rPr>
                <a:t> 만들기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365760</xdr:colOff>
          <xdr:row>0</xdr:row>
          <xdr:rowOff>144780</xdr:rowOff>
        </xdr:from>
        <xdr:to>
          <xdr:col>8</xdr:col>
          <xdr:colOff>716280</xdr:colOff>
          <xdr:row>2</xdr:row>
          <xdr:rowOff>68580</xdr:rowOff>
        </xdr:to>
        <xdr:sp macro="" textlink="">
          <xdr:nvSpPr>
            <xdr:cNvPr id="7178" name="Button 10" hidden="1">
              <a:extLst>
                <a:ext uri="{63B3BB69-23CF-44E3-9099-C40C66FF867C}">
                  <a14:compatExt spid="_x0000_s717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ko-KR" altLang="en-US" sz="1000" b="1" i="0" u="none" strike="noStrike" baseline="0">
                  <a:solidFill>
                    <a:srgbClr val="0000FF"/>
                  </a:solidFill>
                  <a:latin typeface="굴림"/>
                  <a:ea typeface="굴림"/>
                </a:rPr>
                <a:t>부분합</a:t>
              </a:r>
              <a:r>
                <a:rPr lang="ko-KR" altLang="en-US" sz="1000" b="0" i="0" u="none" strike="noStrike" baseline="0">
                  <a:solidFill>
                    <a:srgbClr val="000000"/>
                  </a:solidFill>
                  <a:latin typeface="굴림"/>
                  <a:ea typeface="굴림"/>
                </a:rPr>
                <a:t> 지우기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35410</xdr:colOff>
          <xdr:row>1</xdr:row>
          <xdr:rowOff>124161</xdr:rowOff>
        </xdr:from>
        <xdr:to>
          <xdr:col>3</xdr:col>
          <xdr:colOff>600634</xdr:colOff>
          <xdr:row>3</xdr:row>
          <xdr:rowOff>5827</xdr:rowOff>
        </xdr:to>
        <xdr:sp macro="" textlink="">
          <xdr:nvSpPr>
            <xdr:cNvPr id="7179" name="Option Button 11" hidden="1">
              <a:extLst>
                <a:ext uri="{63B3BB69-23CF-44E3-9099-C40C66FF867C}">
                  <a14:compatExt spid="_x0000_s717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ko-KR" altLang="en-US" sz="900" b="0" i="0" u="none" strike="noStrike" baseline="0">
                  <a:solidFill>
                    <a:srgbClr val="000000"/>
                  </a:solidFill>
                  <a:latin typeface="굴림"/>
                  <a:ea typeface="굴림"/>
                </a:rPr>
                <a:t> 합   계</a:t>
              </a:r>
            </a:p>
          </xdr:txBody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3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4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4" Type="http://schemas.openxmlformats.org/officeDocument/2006/relationships/ctrlProp" Target="../ctrlProps/ctrlProp5.x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6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8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7" Type="http://schemas.openxmlformats.org/officeDocument/2006/relationships/ctrlProp" Target="../ctrlProps/ctrlProp10.x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7.bin"/><Relationship Id="rId6" Type="http://schemas.openxmlformats.org/officeDocument/2006/relationships/ctrlProp" Target="../ctrlProps/ctrlProp9.xml"/><Relationship Id="rId5" Type="http://schemas.openxmlformats.org/officeDocument/2006/relationships/ctrlProp" Target="../ctrlProps/ctrlProp8.xml"/><Relationship Id="rId4" Type="http://schemas.openxmlformats.org/officeDocument/2006/relationships/ctrlProp" Target="../ctrlProps/ctrlProp7.xml"/></Relationships>
</file>

<file path=xl/worksheets/_rels/sheet16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5.xml"/><Relationship Id="rId13" Type="http://schemas.openxmlformats.org/officeDocument/2006/relationships/ctrlProp" Target="../ctrlProps/ctrlProp20.xml"/><Relationship Id="rId3" Type="http://schemas.openxmlformats.org/officeDocument/2006/relationships/vmlDrawing" Target="../drawings/vmlDrawing7.vml"/><Relationship Id="rId7" Type="http://schemas.openxmlformats.org/officeDocument/2006/relationships/ctrlProp" Target="../ctrlProps/ctrlProp14.xml"/><Relationship Id="rId12" Type="http://schemas.openxmlformats.org/officeDocument/2006/relationships/ctrlProp" Target="../ctrlProps/ctrlProp19.xml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8.bin"/><Relationship Id="rId6" Type="http://schemas.openxmlformats.org/officeDocument/2006/relationships/ctrlProp" Target="../ctrlProps/ctrlProp13.xml"/><Relationship Id="rId11" Type="http://schemas.openxmlformats.org/officeDocument/2006/relationships/ctrlProp" Target="../ctrlProps/ctrlProp18.xml"/><Relationship Id="rId5" Type="http://schemas.openxmlformats.org/officeDocument/2006/relationships/ctrlProp" Target="../ctrlProps/ctrlProp12.xml"/><Relationship Id="rId10" Type="http://schemas.openxmlformats.org/officeDocument/2006/relationships/ctrlProp" Target="../ctrlProps/ctrlProp17.xml"/><Relationship Id="rId4" Type="http://schemas.openxmlformats.org/officeDocument/2006/relationships/ctrlProp" Target="../ctrlProps/ctrlProp11.xml"/><Relationship Id="rId9" Type="http://schemas.openxmlformats.org/officeDocument/2006/relationships/ctrlProp" Target="../ctrlProps/ctrlProp16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J21"/>
  <sheetViews>
    <sheetView workbookViewId="0">
      <selection activeCell="L8" sqref="L8"/>
    </sheetView>
  </sheetViews>
  <sheetFormatPr defaultRowHeight="14.4" x14ac:dyDescent="0.25"/>
  <sheetData>
    <row r="1" spans="1:7" ht="25.8" x14ac:dyDescent="0.4">
      <c r="A1" s="141" t="s">
        <v>723</v>
      </c>
    </row>
    <row r="2" spans="1:7" x14ac:dyDescent="0.25">
      <c r="A2" s="140"/>
    </row>
    <row r="3" spans="1:7" ht="25.8" x14ac:dyDescent="0.4">
      <c r="D3" s="141" t="s">
        <v>722</v>
      </c>
    </row>
    <row r="4" spans="1:7" x14ac:dyDescent="0.25">
      <c r="D4" s="140"/>
    </row>
    <row r="6" spans="1:7" x14ac:dyDescent="0.25">
      <c r="C6" s="140"/>
      <c r="E6" s="140"/>
    </row>
    <row r="7" spans="1:7" x14ac:dyDescent="0.25">
      <c r="F7" s="140"/>
    </row>
    <row r="8" spans="1:7" x14ac:dyDescent="0.25">
      <c r="B8" s="140"/>
      <c r="C8" s="140"/>
    </row>
    <row r="11" spans="1:7" x14ac:dyDescent="0.25">
      <c r="G11" s="140"/>
    </row>
    <row r="21" spans="10:10" x14ac:dyDescent="0.25">
      <c r="J21" s="140"/>
    </row>
  </sheetData>
  <phoneticPr fontId="4" type="noConversion"/>
  <pageMargins left="0.75" right="0.75" top="1" bottom="1" header="0.5" footer="0.5"/>
  <pageSetup paperSize="9" orientation="portrait" r:id="rId1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I2"/>
  <sheetViews>
    <sheetView zoomScaleNormal="100" workbookViewId="0">
      <selection activeCell="J7" sqref="J7"/>
    </sheetView>
  </sheetViews>
  <sheetFormatPr defaultRowHeight="14.4" x14ac:dyDescent="0.25"/>
  <sheetData>
    <row r="1" spans="1:9" x14ac:dyDescent="0.25">
      <c r="A1" t="s">
        <v>724</v>
      </c>
    </row>
    <row r="2" spans="1:9" x14ac:dyDescent="0.25">
      <c r="I2" t="s">
        <v>724</v>
      </c>
    </row>
  </sheetData>
  <phoneticPr fontId="4" type="noConversion"/>
  <pageMargins left="0.75" right="0.75" top="1" bottom="1" header="0.5" footer="0.5"/>
  <pageSetup paperSize="9" orientation="portrait" r:id="rId1"/>
  <headerFooter alignWithMargins="0">
    <oddHeader>&amp;L&amp;D</oddHeader>
    <oddFooter>&amp;C&amp;P / &amp;N</oddFoot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D15"/>
  <sheetViews>
    <sheetView zoomScale="130" zoomScaleNormal="130" workbookViewId="0">
      <selection activeCell="I2" sqref="I2"/>
    </sheetView>
  </sheetViews>
  <sheetFormatPr defaultRowHeight="14.4" x14ac:dyDescent="0.25"/>
  <cols>
    <col min="1" max="1" width="17.59765625" style="144" customWidth="1"/>
    <col min="2" max="4" width="11.8984375" style="144" customWidth="1"/>
    <col min="5" max="16384" width="8.796875" style="144"/>
  </cols>
  <sheetData>
    <row r="1" spans="1:4" ht="25.8" x14ac:dyDescent="0.25">
      <c r="A1" s="142" t="s">
        <v>725</v>
      </c>
      <c r="B1" s="143"/>
      <c r="C1" s="143"/>
      <c r="D1" s="143"/>
    </row>
    <row r="2" spans="1:4" x14ac:dyDescent="0.25">
      <c r="A2" s="143"/>
      <c r="B2" s="143"/>
      <c r="C2" s="143"/>
      <c r="D2" s="143"/>
    </row>
    <row r="3" spans="1:4" ht="17.399999999999999" x14ac:dyDescent="0.25">
      <c r="A3" s="145" t="s">
        <v>663</v>
      </c>
      <c r="B3" s="145" t="s">
        <v>664</v>
      </c>
      <c r="C3" s="145" t="s">
        <v>665</v>
      </c>
      <c r="D3" s="145" t="s">
        <v>666</v>
      </c>
    </row>
    <row r="4" spans="1:4" ht="17.399999999999999" x14ac:dyDescent="0.25">
      <c r="A4" s="146" t="s">
        <v>667</v>
      </c>
      <c r="B4" s="147">
        <v>120000000</v>
      </c>
      <c r="C4" s="147">
        <v>100000000</v>
      </c>
      <c r="D4" s="105">
        <f t="shared" ref="D4:D14" si="0">B4-C4</f>
        <v>20000000</v>
      </c>
    </row>
    <row r="5" spans="1:4" ht="17.399999999999999" x14ac:dyDescent="0.25">
      <c r="A5" s="146" t="s">
        <v>668</v>
      </c>
      <c r="B5" s="147">
        <v>50000000</v>
      </c>
      <c r="C5" s="147">
        <v>60000000</v>
      </c>
      <c r="D5" s="105">
        <f t="shared" si="0"/>
        <v>-10000000</v>
      </c>
    </row>
    <row r="6" spans="1:4" ht="17.399999999999999" x14ac:dyDescent="0.25">
      <c r="A6" s="148" t="s">
        <v>669</v>
      </c>
      <c r="B6" s="106">
        <f>B4-B5</f>
        <v>70000000</v>
      </c>
      <c r="C6" s="106">
        <f>C4-C5</f>
        <v>40000000</v>
      </c>
      <c r="D6" s="106">
        <f t="shared" si="0"/>
        <v>30000000</v>
      </c>
    </row>
    <row r="7" spans="1:4" ht="17.399999999999999" x14ac:dyDescent="0.25">
      <c r="A7" s="146" t="s">
        <v>670</v>
      </c>
      <c r="B7" s="147">
        <v>45000000</v>
      </c>
      <c r="C7" s="147">
        <v>50000000</v>
      </c>
      <c r="D7" s="105">
        <f t="shared" si="0"/>
        <v>-5000000</v>
      </c>
    </row>
    <row r="8" spans="1:4" ht="17.399999999999999" x14ac:dyDescent="0.25">
      <c r="A8" s="148" t="s">
        <v>671</v>
      </c>
      <c r="B8" s="106">
        <f>B6-B7</f>
        <v>25000000</v>
      </c>
      <c r="C8" s="106">
        <f>C6-C7</f>
        <v>-10000000</v>
      </c>
      <c r="D8" s="106">
        <f t="shared" si="0"/>
        <v>35000000</v>
      </c>
    </row>
    <row r="9" spans="1:4" ht="17.399999999999999" x14ac:dyDescent="0.25">
      <c r="A9" s="146" t="s">
        <v>672</v>
      </c>
      <c r="B9" s="147">
        <v>15000000</v>
      </c>
      <c r="C9" s="147">
        <v>10000000</v>
      </c>
      <c r="D9" s="105">
        <f t="shared" si="0"/>
        <v>5000000</v>
      </c>
    </row>
    <row r="10" spans="1:4" ht="17.399999999999999" x14ac:dyDescent="0.25">
      <c r="A10" s="146" t="s">
        <v>673</v>
      </c>
      <c r="B10" s="147">
        <v>10000000</v>
      </c>
      <c r="C10" s="147">
        <v>20000000</v>
      </c>
      <c r="D10" s="105">
        <f t="shared" si="0"/>
        <v>-10000000</v>
      </c>
    </row>
    <row r="11" spans="1:4" ht="17.399999999999999" x14ac:dyDescent="0.25">
      <c r="A11" s="148" t="s">
        <v>674</v>
      </c>
      <c r="B11" s="106">
        <f>B8+B9-B10</f>
        <v>30000000</v>
      </c>
      <c r="C11" s="106">
        <f>C8+C9-C10</f>
        <v>-20000000</v>
      </c>
      <c r="D11" s="106">
        <f t="shared" si="0"/>
        <v>50000000</v>
      </c>
    </row>
    <row r="12" spans="1:4" ht="17.399999999999999" x14ac:dyDescent="0.25">
      <c r="A12" s="146" t="s">
        <v>675</v>
      </c>
      <c r="B12" s="147">
        <v>25000000</v>
      </c>
      <c r="C12" s="147">
        <v>40000000</v>
      </c>
      <c r="D12" s="105">
        <f t="shared" si="0"/>
        <v>-15000000</v>
      </c>
    </row>
    <row r="13" spans="1:4" ht="17.399999999999999" x14ac:dyDescent="0.25">
      <c r="A13" s="146" t="s">
        <v>676</v>
      </c>
      <c r="B13" s="147">
        <v>10000000</v>
      </c>
      <c r="C13" s="147">
        <v>30000000</v>
      </c>
      <c r="D13" s="105">
        <f t="shared" si="0"/>
        <v>-20000000</v>
      </c>
    </row>
    <row r="14" spans="1:4" ht="17.399999999999999" x14ac:dyDescent="0.25">
      <c r="A14" s="148" t="s">
        <v>677</v>
      </c>
      <c r="B14" s="106">
        <f>B11+B12-B13</f>
        <v>45000000</v>
      </c>
      <c r="C14" s="106">
        <f>C11+C12-C13</f>
        <v>-10000000</v>
      </c>
      <c r="D14" s="106">
        <f t="shared" si="0"/>
        <v>55000000</v>
      </c>
    </row>
    <row r="15" spans="1:4" x14ac:dyDescent="0.25">
      <c r="A15" s="149"/>
      <c r="B15" s="149"/>
      <c r="C15" s="149"/>
      <c r="D15" s="149"/>
    </row>
  </sheetData>
  <sheetProtection sheet="1"/>
  <phoneticPr fontId="4" type="noConversion"/>
  <pageMargins left="0.75" right="0.75" top="1" bottom="1" header="0.5" footer="0.5"/>
  <pageSetup paperSize="9" orientation="portrait" r:id="rId1"/>
  <headerFooter alignWithMargins="0">
    <oddHeader>&amp;L&amp;D</oddHeader>
    <oddFooter>&amp;C&amp;P / &amp;N</oddFooter>
  </headerFooter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B2:I19"/>
  <sheetViews>
    <sheetView workbookViewId="0">
      <selection activeCell="H21" sqref="H21"/>
    </sheetView>
  </sheetViews>
  <sheetFormatPr defaultRowHeight="14.4" x14ac:dyDescent="0.25"/>
  <cols>
    <col min="1" max="1" width="1.3984375" customWidth="1"/>
    <col min="2" max="2" width="5.09765625" customWidth="1"/>
    <col min="3" max="3" width="14.8984375" bestFit="1" customWidth="1"/>
    <col min="4" max="4" width="2.69921875" customWidth="1"/>
    <col min="5" max="5" width="11.296875" customWidth="1"/>
    <col min="6" max="6" width="4.3984375" customWidth="1"/>
  </cols>
  <sheetData>
    <row r="2" spans="2:9" x14ac:dyDescent="0.25">
      <c r="B2" s="107"/>
      <c r="C2" s="108"/>
      <c r="D2" s="109"/>
      <c r="E2" s="109"/>
      <c r="F2" s="109"/>
      <c r="G2" s="109"/>
      <c r="H2" s="109"/>
      <c r="I2" s="110"/>
    </row>
    <row r="3" spans="2:9" x14ac:dyDescent="0.25">
      <c r="B3" s="111"/>
      <c r="C3" s="112" t="s">
        <v>678</v>
      </c>
      <c r="D3" s="113"/>
      <c r="E3" s="114">
        <v>12</v>
      </c>
      <c r="F3" s="113"/>
      <c r="G3" s="113"/>
      <c r="H3" s="113"/>
      <c r="I3" s="115"/>
    </row>
    <row r="4" spans="2:9" x14ac:dyDescent="0.25">
      <c r="B4" s="111"/>
      <c r="C4" s="116"/>
      <c r="D4" s="113"/>
      <c r="E4" s="113"/>
      <c r="F4" s="113"/>
      <c r="G4" s="113"/>
      <c r="H4" s="113"/>
      <c r="I4" s="115"/>
    </row>
    <row r="5" spans="2:9" x14ac:dyDescent="0.25">
      <c r="B5" s="111"/>
      <c r="C5" s="112" t="s">
        <v>679</v>
      </c>
      <c r="D5" s="113"/>
      <c r="E5" s="114">
        <v>12</v>
      </c>
      <c r="F5" s="113"/>
      <c r="G5" s="113"/>
      <c r="H5" s="113"/>
      <c r="I5" s="115"/>
    </row>
    <row r="6" spans="2:9" x14ac:dyDescent="0.25">
      <c r="B6" s="111"/>
      <c r="C6" s="116"/>
      <c r="D6" s="113"/>
      <c r="E6" s="113"/>
      <c r="F6" s="113"/>
      <c r="G6" s="113"/>
      <c r="H6" s="113"/>
      <c r="I6" s="115"/>
    </row>
    <row r="7" spans="2:9" x14ac:dyDescent="0.25">
      <c r="B7" s="111"/>
      <c r="C7" s="112" t="s">
        <v>680</v>
      </c>
      <c r="D7" s="113"/>
      <c r="E7" s="117">
        <f>PI()*E3^2</f>
        <v>452.38934211693021</v>
      </c>
      <c r="F7" s="113"/>
      <c r="G7" s="113"/>
      <c r="H7" s="113"/>
      <c r="I7" s="115"/>
    </row>
    <row r="8" spans="2:9" x14ac:dyDescent="0.25">
      <c r="B8" s="111"/>
      <c r="C8" s="116"/>
      <c r="D8" s="113"/>
      <c r="E8" s="118"/>
      <c r="F8" s="113"/>
      <c r="G8" s="113"/>
      <c r="H8" s="113"/>
      <c r="I8" s="115"/>
    </row>
    <row r="9" spans="2:9" x14ac:dyDescent="0.25">
      <c r="B9" s="111"/>
      <c r="C9" s="112" t="s">
        <v>681</v>
      </c>
      <c r="D9" s="113"/>
      <c r="E9" s="117">
        <f>SQRT(E3^2+E5^2)*E13/2</f>
        <v>7677.3017171376559</v>
      </c>
      <c r="F9" s="113"/>
      <c r="G9" s="113"/>
      <c r="H9" s="113"/>
      <c r="I9" s="115"/>
    </row>
    <row r="10" spans="2:9" x14ac:dyDescent="0.25">
      <c r="B10" s="111"/>
      <c r="C10" s="116"/>
      <c r="D10" s="113"/>
      <c r="E10" s="118"/>
      <c r="F10" s="113"/>
      <c r="G10" s="113"/>
      <c r="H10" s="113"/>
      <c r="I10" s="115"/>
    </row>
    <row r="11" spans="2:9" x14ac:dyDescent="0.25">
      <c r="B11" s="111"/>
      <c r="C11" s="112" t="s">
        <v>682</v>
      </c>
      <c r="D11" s="113"/>
      <c r="E11" s="117">
        <f>E7+E9</f>
        <v>8129.6910592545864</v>
      </c>
      <c r="F11" s="113"/>
      <c r="G11" s="113"/>
      <c r="H11" s="113"/>
      <c r="I11" s="115"/>
    </row>
    <row r="12" spans="2:9" x14ac:dyDescent="0.25">
      <c r="B12" s="111"/>
      <c r="C12" s="116"/>
      <c r="D12" s="113"/>
      <c r="E12" s="118"/>
      <c r="F12" s="113"/>
      <c r="G12" s="113"/>
      <c r="H12" s="113"/>
      <c r="I12" s="115"/>
    </row>
    <row r="13" spans="2:9" x14ac:dyDescent="0.25">
      <c r="B13" s="111"/>
      <c r="C13" s="112" t="s">
        <v>683</v>
      </c>
      <c r="D13" s="113"/>
      <c r="E13" s="117">
        <f>2*PI()*E3^2</f>
        <v>904.77868423386042</v>
      </c>
      <c r="F13" s="113"/>
      <c r="G13" s="113"/>
      <c r="H13" s="113"/>
      <c r="I13" s="115"/>
    </row>
    <row r="14" spans="2:9" x14ac:dyDescent="0.25">
      <c r="B14" s="119"/>
      <c r="C14" s="120"/>
      <c r="D14" s="121"/>
      <c r="E14" s="121"/>
      <c r="F14" s="121"/>
      <c r="G14" s="121"/>
      <c r="H14" s="121"/>
      <c r="I14" s="122"/>
    </row>
    <row r="19" spans="6:6" x14ac:dyDescent="0.25">
      <c r="F19" t="s">
        <v>726</v>
      </c>
    </row>
  </sheetData>
  <phoneticPr fontId="4" type="noConversion"/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/>
  <dimension ref="C5:O30"/>
  <sheetViews>
    <sheetView workbookViewId="0">
      <selection activeCell="C11" sqref="C11"/>
    </sheetView>
  </sheetViews>
  <sheetFormatPr defaultRowHeight="14.4" x14ac:dyDescent="0.25"/>
  <sheetData>
    <row r="5" spans="3:15" x14ac:dyDescent="0.25">
      <c r="C5" t="s">
        <v>728</v>
      </c>
    </row>
    <row r="10" spans="3:15" x14ac:dyDescent="0.25">
      <c r="C10" t="s">
        <v>727</v>
      </c>
      <c r="E10" t="s">
        <v>729</v>
      </c>
    </row>
    <row r="11" spans="3:15" x14ac:dyDescent="0.25">
      <c r="H11" t="s">
        <v>727</v>
      </c>
    </row>
    <row r="15" spans="3:15" x14ac:dyDescent="0.25">
      <c r="G15" t="s">
        <v>729</v>
      </c>
      <c r="O15" t="s">
        <v>727</v>
      </c>
    </row>
    <row r="20" spans="4:13" x14ac:dyDescent="0.25">
      <c r="I20" t="s">
        <v>729</v>
      </c>
    </row>
    <row r="21" spans="4:13" x14ac:dyDescent="0.25">
      <c r="D21" t="s">
        <v>727</v>
      </c>
    </row>
    <row r="25" spans="4:13" x14ac:dyDescent="0.25">
      <c r="K25" t="s">
        <v>727</v>
      </c>
    </row>
    <row r="28" spans="4:13" x14ac:dyDescent="0.25">
      <c r="D28" t="s">
        <v>727</v>
      </c>
    </row>
    <row r="30" spans="4:13" x14ac:dyDescent="0.25">
      <c r="M30" t="s">
        <v>727</v>
      </c>
    </row>
  </sheetData>
  <phoneticPr fontId="4" type="noConversion"/>
  <pageMargins left="0.75" right="0.75" top="1" bottom="1" header="0.5" footer="0.5"/>
  <pageSetup paperSize="9"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2" r:id="rId4" name="Button 2">
              <controlPr defaultSize="0" print="0" autoFill="0" autoPict="0" macro="[0]!매크로4_상대참조">
                <anchor moveWithCells="1" sizeWithCells="1">
                  <from>
                    <xdr:col>5</xdr:col>
                    <xdr:colOff>411480</xdr:colOff>
                    <xdr:row>2</xdr:row>
                    <xdr:rowOff>22860</xdr:rowOff>
                  </from>
                  <to>
                    <xdr:col>9</xdr:col>
                    <xdr:colOff>640080</xdr:colOff>
                    <xdr:row>5</xdr:row>
                    <xdr:rowOff>129540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3" r:id="rId5" name="Button 3">
              <controlPr defaultSize="0" print="0" autoFill="0" autoPict="0" macro="[0]!매크로5_절대참조">
                <anchor moveWithCells="1" sizeWithCells="1">
                  <from>
                    <xdr:col>5</xdr:col>
                    <xdr:colOff>419100</xdr:colOff>
                    <xdr:row>7</xdr:row>
                    <xdr:rowOff>45720</xdr:rowOff>
                  </from>
                  <to>
                    <xdr:col>9</xdr:col>
                    <xdr:colOff>662940</xdr:colOff>
                    <xdr:row>11</xdr:row>
                    <xdr:rowOff>22860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/>
  <dimension ref="A1:E12"/>
  <sheetViews>
    <sheetView workbookViewId="0">
      <selection activeCell="G13" sqref="G13"/>
    </sheetView>
  </sheetViews>
  <sheetFormatPr defaultRowHeight="14.4" x14ac:dyDescent="0.25"/>
  <cols>
    <col min="2" max="2" width="10" bestFit="1" customWidth="1"/>
    <col min="3" max="5" width="10" customWidth="1"/>
  </cols>
  <sheetData>
    <row r="1" spans="1:5" x14ac:dyDescent="0.25">
      <c r="A1" s="151" t="s">
        <v>684</v>
      </c>
      <c r="B1" s="151"/>
      <c r="C1" s="123" t="s">
        <v>695</v>
      </c>
      <c r="D1" s="123" t="s">
        <v>734</v>
      </c>
      <c r="E1" s="124" t="s">
        <v>696</v>
      </c>
    </row>
    <row r="2" spans="1:5" x14ac:dyDescent="0.25">
      <c r="A2" s="125" t="s">
        <v>697</v>
      </c>
      <c r="B2" s="126" t="s">
        <v>698</v>
      </c>
      <c r="C2" s="127">
        <v>1500</v>
      </c>
      <c r="D2" s="127">
        <v>30000</v>
      </c>
      <c r="E2" s="128">
        <f t="shared" ref="E2:E12" si="0">C2/$C$12</f>
        <v>9.9009900990099015E-2</v>
      </c>
    </row>
    <row r="3" spans="1:5" x14ac:dyDescent="0.25">
      <c r="A3" s="125" t="s">
        <v>699</v>
      </c>
      <c r="B3" s="126" t="s">
        <v>700</v>
      </c>
      <c r="C3" s="127">
        <v>1850</v>
      </c>
      <c r="D3" s="127">
        <v>40000</v>
      </c>
      <c r="E3" s="128">
        <f t="shared" si="0"/>
        <v>0.12211221122112212</v>
      </c>
    </row>
    <row r="4" spans="1:5" x14ac:dyDescent="0.25">
      <c r="A4" s="125" t="s">
        <v>701</v>
      </c>
      <c r="B4" s="126" t="s">
        <v>702</v>
      </c>
      <c r="C4" s="127">
        <v>3000</v>
      </c>
      <c r="D4" s="127">
        <v>60500</v>
      </c>
      <c r="E4" s="128">
        <f t="shared" si="0"/>
        <v>0.19801980198019803</v>
      </c>
    </row>
    <row r="5" spans="1:5" x14ac:dyDescent="0.25">
      <c r="A5" s="125" t="s">
        <v>687</v>
      </c>
      <c r="B5" s="126" t="s">
        <v>685</v>
      </c>
      <c r="C5" s="127">
        <v>2000</v>
      </c>
      <c r="D5" s="127">
        <v>42400</v>
      </c>
      <c r="E5" s="128">
        <f t="shared" si="0"/>
        <v>0.132013201320132</v>
      </c>
    </row>
    <row r="6" spans="1:5" x14ac:dyDescent="0.25">
      <c r="A6" s="125" t="s">
        <v>688</v>
      </c>
      <c r="B6" s="126" t="s">
        <v>685</v>
      </c>
      <c r="C6" s="127">
        <v>1300</v>
      </c>
      <c r="D6" s="127">
        <v>28000</v>
      </c>
      <c r="E6" s="128">
        <f t="shared" si="0"/>
        <v>8.5808580858085806E-2</v>
      </c>
    </row>
    <row r="7" spans="1:5" x14ac:dyDescent="0.25">
      <c r="A7" s="125" t="s">
        <v>689</v>
      </c>
      <c r="B7" s="126" t="s">
        <v>685</v>
      </c>
      <c r="C7" s="127">
        <v>1300</v>
      </c>
      <c r="D7" s="127">
        <v>25000</v>
      </c>
      <c r="E7" s="128">
        <f t="shared" si="0"/>
        <v>8.5808580858085806E-2</v>
      </c>
    </row>
    <row r="8" spans="1:5" x14ac:dyDescent="0.25">
      <c r="A8" s="125" t="s">
        <v>690</v>
      </c>
      <c r="B8" s="126" t="s">
        <v>685</v>
      </c>
      <c r="C8" s="127">
        <v>1200</v>
      </c>
      <c r="D8" s="127">
        <v>22000</v>
      </c>
      <c r="E8" s="128">
        <f t="shared" si="0"/>
        <v>7.9207920792079209E-2</v>
      </c>
    </row>
    <row r="9" spans="1:5" x14ac:dyDescent="0.25">
      <c r="A9" s="125" t="s">
        <v>691</v>
      </c>
      <c r="B9" s="126" t="s">
        <v>685</v>
      </c>
      <c r="C9" s="127">
        <v>1000</v>
      </c>
      <c r="D9" s="127">
        <v>20000</v>
      </c>
      <c r="E9" s="128">
        <f t="shared" si="0"/>
        <v>6.6006600660066E-2</v>
      </c>
    </row>
    <row r="10" spans="1:5" x14ac:dyDescent="0.25">
      <c r="A10" s="125" t="s">
        <v>692</v>
      </c>
      <c r="B10" s="126" t="s">
        <v>685</v>
      </c>
      <c r="C10" s="127">
        <v>900</v>
      </c>
      <c r="D10" s="127">
        <v>16000</v>
      </c>
      <c r="E10" s="128">
        <f t="shared" si="0"/>
        <v>5.9405940594059403E-2</v>
      </c>
    </row>
    <row r="11" spans="1:5" x14ac:dyDescent="0.25">
      <c r="A11" s="125" t="s">
        <v>693</v>
      </c>
      <c r="B11" s="126" t="s">
        <v>685</v>
      </c>
      <c r="C11" s="127">
        <v>1100</v>
      </c>
      <c r="D11" s="127">
        <v>25000</v>
      </c>
      <c r="E11" s="128">
        <f t="shared" si="0"/>
        <v>7.2607260726072612E-2</v>
      </c>
    </row>
    <row r="12" spans="1:5" x14ac:dyDescent="0.25">
      <c r="A12" s="125" t="s">
        <v>694</v>
      </c>
      <c r="B12" s="126" t="s">
        <v>685</v>
      </c>
      <c r="C12" s="127">
        <f>SUM(C11,C10,C9,C8,C7,C6,C5,C4,C3,C2)</f>
        <v>15150</v>
      </c>
      <c r="D12" s="127">
        <f>SUM(D11,D10,D9,D8,D7,D6,D5,D4,D3,D2)</f>
        <v>308900</v>
      </c>
      <c r="E12" s="128">
        <f t="shared" si="0"/>
        <v>1</v>
      </c>
    </row>
  </sheetData>
  <mergeCells count="1">
    <mergeCell ref="A1:B1"/>
  </mergeCells>
  <phoneticPr fontId="4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5" r:id="rId3" name="Button 1">
              <controlPr defaultSize="0" print="0" autoFill="0" autoPict="0" macro="[0]!매크로7_두줄데이터를한줄로_상대참조">
                <anchor moveWithCells="1" sizeWithCells="1">
                  <from>
                    <xdr:col>7</xdr:col>
                    <xdr:colOff>541020</xdr:colOff>
                    <xdr:row>0</xdr:row>
                    <xdr:rowOff>175260</xdr:rowOff>
                  </from>
                  <to>
                    <xdr:col>9</xdr:col>
                    <xdr:colOff>579120</xdr:colOff>
                    <xdr:row>3</xdr:row>
                    <xdr:rowOff>121920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E23"/>
  <sheetViews>
    <sheetView workbookViewId="0">
      <selection activeCell="E26" sqref="E26"/>
    </sheetView>
  </sheetViews>
  <sheetFormatPr defaultRowHeight="14.4" x14ac:dyDescent="0.25"/>
  <cols>
    <col min="2" max="2" width="10" bestFit="1" customWidth="1"/>
    <col min="3" max="5" width="10" customWidth="1"/>
  </cols>
  <sheetData>
    <row r="1" spans="1:5" x14ac:dyDescent="0.25">
      <c r="A1" s="151" t="s">
        <v>684</v>
      </c>
      <c r="B1" s="151"/>
      <c r="C1" s="123" t="s">
        <v>695</v>
      </c>
      <c r="D1" s="123"/>
      <c r="E1" s="138" t="s">
        <v>696</v>
      </c>
    </row>
    <row r="2" spans="1:5" x14ac:dyDescent="0.25">
      <c r="A2" s="125" t="s">
        <v>697</v>
      </c>
      <c r="B2" s="126" t="s">
        <v>685</v>
      </c>
      <c r="C2" s="127">
        <v>1500</v>
      </c>
      <c r="D2" s="127"/>
      <c r="E2" s="128">
        <f>C2/$C$22</f>
        <v>9.9009900990099015E-2</v>
      </c>
    </row>
    <row r="3" spans="1:5" x14ac:dyDescent="0.25">
      <c r="A3" s="129"/>
      <c r="B3" s="126" t="s">
        <v>686</v>
      </c>
      <c r="C3" s="127">
        <v>30000</v>
      </c>
      <c r="D3" s="127"/>
      <c r="E3" s="128"/>
    </row>
    <row r="4" spans="1:5" x14ac:dyDescent="0.25">
      <c r="A4" s="125" t="s">
        <v>699</v>
      </c>
      <c r="B4" s="126" t="s">
        <v>685</v>
      </c>
      <c r="C4" s="127">
        <v>1850</v>
      </c>
      <c r="D4" s="127"/>
      <c r="E4" s="128">
        <f>C4/$C$22</f>
        <v>0.12211221122112212</v>
      </c>
    </row>
    <row r="5" spans="1:5" x14ac:dyDescent="0.25">
      <c r="A5" s="129"/>
      <c r="B5" s="126" t="s">
        <v>686</v>
      </c>
      <c r="C5" s="127">
        <v>40000</v>
      </c>
      <c r="D5" s="127"/>
      <c r="E5" s="128"/>
    </row>
    <row r="6" spans="1:5" x14ac:dyDescent="0.25">
      <c r="A6" s="125" t="s">
        <v>701</v>
      </c>
      <c r="B6" s="126" t="s">
        <v>685</v>
      </c>
      <c r="C6" s="127">
        <v>3000</v>
      </c>
      <c r="D6" s="127"/>
      <c r="E6" s="128">
        <f>C6/$C$22</f>
        <v>0.19801980198019803</v>
      </c>
    </row>
    <row r="7" spans="1:5" x14ac:dyDescent="0.25">
      <c r="A7" s="129"/>
      <c r="B7" s="126" t="s">
        <v>686</v>
      </c>
      <c r="C7" s="127">
        <v>60500</v>
      </c>
      <c r="D7" s="127"/>
      <c r="E7" s="128"/>
    </row>
    <row r="8" spans="1:5" x14ac:dyDescent="0.25">
      <c r="A8" s="125" t="s">
        <v>687</v>
      </c>
      <c r="B8" s="126" t="s">
        <v>685</v>
      </c>
      <c r="C8" s="127">
        <v>2000</v>
      </c>
      <c r="D8" s="127"/>
      <c r="E8" s="128">
        <f>C8/$C$22</f>
        <v>0.132013201320132</v>
      </c>
    </row>
    <row r="9" spans="1:5" x14ac:dyDescent="0.25">
      <c r="A9" s="129"/>
      <c r="B9" s="126" t="s">
        <v>686</v>
      </c>
      <c r="C9" s="127">
        <v>42400</v>
      </c>
      <c r="D9" s="127"/>
      <c r="E9" s="128"/>
    </row>
    <row r="10" spans="1:5" x14ac:dyDescent="0.25">
      <c r="A10" s="125" t="s">
        <v>688</v>
      </c>
      <c r="B10" s="126" t="s">
        <v>685</v>
      </c>
      <c r="C10" s="127">
        <v>1300</v>
      </c>
      <c r="D10" s="127"/>
      <c r="E10" s="128">
        <f>C10/$C$22</f>
        <v>8.5808580858085806E-2</v>
      </c>
    </row>
    <row r="11" spans="1:5" x14ac:dyDescent="0.25">
      <c r="A11" s="129"/>
      <c r="B11" s="126" t="s">
        <v>686</v>
      </c>
      <c r="C11" s="127">
        <v>28000</v>
      </c>
      <c r="D11" s="127"/>
      <c r="E11" s="128"/>
    </row>
    <row r="12" spans="1:5" x14ac:dyDescent="0.25">
      <c r="A12" s="125" t="s">
        <v>689</v>
      </c>
      <c r="B12" s="126" t="s">
        <v>685</v>
      </c>
      <c r="C12" s="127">
        <v>1300</v>
      </c>
      <c r="D12" s="127"/>
      <c r="E12" s="128">
        <f>C12/$C$22</f>
        <v>8.5808580858085806E-2</v>
      </c>
    </row>
    <row r="13" spans="1:5" x14ac:dyDescent="0.25">
      <c r="A13" s="129"/>
      <c r="B13" s="126" t="s">
        <v>686</v>
      </c>
      <c r="C13" s="127">
        <v>25000</v>
      </c>
      <c r="D13" s="127"/>
      <c r="E13" s="128"/>
    </row>
    <row r="14" spans="1:5" x14ac:dyDescent="0.25">
      <c r="A14" s="125" t="s">
        <v>690</v>
      </c>
      <c r="B14" s="126" t="s">
        <v>685</v>
      </c>
      <c r="C14" s="127">
        <v>1200</v>
      </c>
      <c r="D14" s="127"/>
      <c r="E14" s="128">
        <f>C14/$C$22</f>
        <v>7.9207920792079209E-2</v>
      </c>
    </row>
    <row r="15" spans="1:5" x14ac:dyDescent="0.25">
      <c r="A15" s="129"/>
      <c r="B15" s="126" t="s">
        <v>686</v>
      </c>
      <c r="C15" s="127">
        <v>22000</v>
      </c>
      <c r="D15" s="127"/>
      <c r="E15" s="128"/>
    </row>
    <row r="16" spans="1:5" x14ac:dyDescent="0.25">
      <c r="A16" s="125" t="s">
        <v>691</v>
      </c>
      <c r="B16" s="126" t="s">
        <v>685</v>
      </c>
      <c r="C16" s="127">
        <v>1000</v>
      </c>
      <c r="D16" s="127"/>
      <c r="E16" s="128">
        <f>C16/$C$22</f>
        <v>6.6006600660066E-2</v>
      </c>
    </row>
    <row r="17" spans="1:5" x14ac:dyDescent="0.25">
      <c r="A17" s="129"/>
      <c r="B17" s="126" t="s">
        <v>686</v>
      </c>
      <c r="C17" s="127">
        <v>20000</v>
      </c>
      <c r="D17" s="127"/>
      <c r="E17" s="128"/>
    </row>
    <row r="18" spans="1:5" x14ac:dyDescent="0.25">
      <c r="A18" s="125" t="s">
        <v>692</v>
      </c>
      <c r="B18" s="126" t="s">
        <v>685</v>
      </c>
      <c r="C18" s="127">
        <v>900</v>
      </c>
      <c r="D18" s="127"/>
      <c r="E18" s="128">
        <f>C18/$C$22</f>
        <v>5.9405940594059403E-2</v>
      </c>
    </row>
    <row r="19" spans="1:5" x14ac:dyDescent="0.25">
      <c r="A19" s="129"/>
      <c r="B19" s="126" t="s">
        <v>686</v>
      </c>
      <c r="C19" s="127">
        <v>16000</v>
      </c>
      <c r="D19" s="127"/>
      <c r="E19" s="128"/>
    </row>
    <row r="20" spans="1:5" x14ac:dyDescent="0.25">
      <c r="A20" s="125" t="s">
        <v>693</v>
      </c>
      <c r="B20" s="126" t="s">
        <v>685</v>
      </c>
      <c r="C20" s="127">
        <v>1100</v>
      </c>
      <c r="D20" s="127"/>
      <c r="E20" s="128">
        <f>C20/$C$22</f>
        <v>7.2607260726072612E-2</v>
      </c>
    </row>
    <row r="21" spans="1:5" x14ac:dyDescent="0.25">
      <c r="A21" s="129"/>
      <c r="B21" s="126" t="s">
        <v>686</v>
      </c>
      <c r="C21" s="127">
        <v>25000</v>
      </c>
      <c r="D21" s="127"/>
      <c r="E21" s="128"/>
    </row>
    <row r="22" spans="1:5" x14ac:dyDescent="0.25">
      <c r="A22" s="125" t="s">
        <v>694</v>
      </c>
      <c r="B22" s="126" t="s">
        <v>685</v>
      </c>
      <c r="C22" s="127">
        <f>SUM(C20,C18,C16,C14,C12,C10,C8,C6,C4,C2)</f>
        <v>15150</v>
      </c>
      <c r="D22" s="127"/>
      <c r="E22" s="128">
        <f>C22/$C$22</f>
        <v>1</v>
      </c>
    </row>
    <row r="23" spans="1:5" x14ac:dyDescent="0.25">
      <c r="A23" s="129"/>
      <c r="B23" s="126" t="s">
        <v>686</v>
      </c>
      <c r="C23" s="127">
        <f>SUM(C21,C19,C17,C15,C13,C11,C9,C7,C5,C3)</f>
        <v>308900</v>
      </c>
      <c r="D23" s="127"/>
      <c r="E23" s="128"/>
    </row>
  </sheetData>
  <mergeCells count="1">
    <mergeCell ref="A1:B1"/>
  </mergeCells>
  <phoneticPr fontId="4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:E22"/>
  <sheetViews>
    <sheetView workbookViewId="0">
      <selection activeCell="F29" sqref="F29"/>
    </sheetView>
  </sheetViews>
  <sheetFormatPr defaultRowHeight="14.4" x14ac:dyDescent="0.25"/>
  <cols>
    <col min="2" max="2" width="10" bestFit="1" customWidth="1"/>
    <col min="3" max="5" width="10" customWidth="1"/>
  </cols>
  <sheetData>
    <row r="1" spans="1:5" x14ac:dyDescent="0.25">
      <c r="A1" s="151" t="s">
        <v>684</v>
      </c>
      <c r="B1" s="151"/>
      <c r="C1" s="123" t="s">
        <v>695</v>
      </c>
      <c r="D1" s="123"/>
      <c r="E1" s="139" t="s">
        <v>696</v>
      </c>
    </row>
    <row r="2" spans="1:5" x14ac:dyDescent="0.25">
      <c r="A2" s="125" t="s">
        <v>697</v>
      </c>
      <c r="B2" s="126" t="s">
        <v>685</v>
      </c>
      <c r="C2" s="127">
        <v>1500</v>
      </c>
      <c r="D2" s="127">
        <v>30000</v>
      </c>
      <c r="E2" s="128">
        <f>C2/$C$21</f>
        <v>9.9009900990099015E-2</v>
      </c>
    </row>
    <row r="3" spans="1:5" x14ac:dyDescent="0.25">
      <c r="A3" s="125" t="s">
        <v>699</v>
      </c>
      <c r="B3" s="126" t="s">
        <v>685</v>
      </c>
      <c r="C3" s="127">
        <v>1850</v>
      </c>
      <c r="D3" s="127"/>
      <c r="E3" s="128">
        <f>C3/$C$21</f>
        <v>0.12211221122112212</v>
      </c>
    </row>
    <row r="4" spans="1:5" x14ac:dyDescent="0.25">
      <c r="A4" s="129"/>
      <c r="B4" s="126" t="s">
        <v>686</v>
      </c>
      <c r="C4" s="127">
        <v>40000</v>
      </c>
      <c r="D4" s="127">
        <v>3000</v>
      </c>
      <c r="E4" s="128"/>
    </row>
    <row r="5" spans="1:5" x14ac:dyDescent="0.25">
      <c r="A5" s="125" t="s">
        <v>701</v>
      </c>
      <c r="B5" s="126" t="s">
        <v>685</v>
      </c>
      <c r="D5" s="127"/>
      <c r="E5" s="128">
        <f>D4/$C$21</f>
        <v>0.19801980198019803</v>
      </c>
    </row>
    <row r="6" spans="1:5" x14ac:dyDescent="0.25">
      <c r="A6" s="129"/>
      <c r="B6" s="126" t="s">
        <v>686</v>
      </c>
      <c r="C6" s="127">
        <v>60500</v>
      </c>
      <c r="D6" s="127"/>
      <c r="E6" s="128"/>
    </row>
    <row r="7" spans="1:5" x14ac:dyDescent="0.25">
      <c r="A7" s="125" t="s">
        <v>687</v>
      </c>
      <c r="B7" s="126" t="s">
        <v>685</v>
      </c>
      <c r="C7" s="127">
        <v>2000</v>
      </c>
      <c r="D7" s="127"/>
      <c r="E7" s="128">
        <f>C7/$C$21</f>
        <v>0.132013201320132</v>
      </c>
    </row>
    <row r="8" spans="1:5" x14ac:dyDescent="0.25">
      <c r="A8" s="129"/>
      <c r="B8" s="126" t="s">
        <v>686</v>
      </c>
      <c r="C8" s="127">
        <v>42400</v>
      </c>
      <c r="D8" s="127"/>
      <c r="E8" s="128"/>
    </row>
    <row r="9" spans="1:5" x14ac:dyDescent="0.25">
      <c r="A9" s="125" t="s">
        <v>688</v>
      </c>
      <c r="B9" s="126" t="s">
        <v>685</v>
      </c>
      <c r="C9" s="127">
        <v>1300</v>
      </c>
      <c r="D9" s="127"/>
      <c r="E9" s="128">
        <f>C9/$C$21</f>
        <v>8.5808580858085806E-2</v>
      </c>
    </row>
    <row r="10" spans="1:5" x14ac:dyDescent="0.25">
      <c r="A10" s="129"/>
      <c r="B10" s="126" t="s">
        <v>686</v>
      </c>
      <c r="C10" s="127">
        <v>28000</v>
      </c>
      <c r="D10" s="127"/>
      <c r="E10" s="128"/>
    </row>
    <row r="11" spans="1:5" x14ac:dyDescent="0.25">
      <c r="A11" s="125" t="s">
        <v>689</v>
      </c>
      <c r="B11" s="126" t="s">
        <v>685</v>
      </c>
      <c r="C11" s="127">
        <v>1300</v>
      </c>
      <c r="D11" s="127"/>
      <c r="E11" s="128">
        <f>C11/$C$21</f>
        <v>8.5808580858085806E-2</v>
      </c>
    </row>
    <row r="12" spans="1:5" x14ac:dyDescent="0.25">
      <c r="A12" s="129"/>
      <c r="B12" s="126" t="s">
        <v>686</v>
      </c>
      <c r="C12" s="127">
        <v>25000</v>
      </c>
      <c r="D12" s="127"/>
      <c r="E12" s="128"/>
    </row>
    <row r="13" spans="1:5" x14ac:dyDescent="0.25">
      <c r="A13" s="125" t="s">
        <v>690</v>
      </c>
      <c r="B13" s="126" t="s">
        <v>685</v>
      </c>
      <c r="C13" s="127">
        <v>1200</v>
      </c>
      <c r="D13" s="127"/>
      <c r="E13" s="128">
        <f>C13/$C$21</f>
        <v>7.9207920792079209E-2</v>
      </c>
    </row>
    <row r="14" spans="1:5" x14ac:dyDescent="0.25">
      <c r="A14" s="129"/>
      <c r="B14" s="126" t="s">
        <v>686</v>
      </c>
      <c r="C14" s="127">
        <v>22000</v>
      </c>
      <c r="D14" s="127"/>
      <c r="E14" s="128"/>
    </row>
    <row r="15" spans="1:5" x14ac:dyDescent="0.25">
      <c r="A15" s="125" t="s">
        <v>691</v>
      </c>
      <c r="B15" s="126" t="s">
        <v>685</v>
      </c>
      <c r="C15" s="127">
        <v>1000</v>
      </c>
      <c r="D15" s="127"/>
      <c r="E15" s="128">
        <f>C15/$C$21</f>
        <v>6.6006600660066E-2</v>
      </c>
    </row>
    <row r="16" spans="1:5" x14ac:dyDescent="0.25">
      <c r="A16" s="129"/>
      <c r="B16" s="126" t="s">
        <v>686</v>
      </c>
      <c r="C16" s="127">
        <v>20000</v>
      </c>
      <c r="D16" s="127"/>
      <c r="E16" s="128"/>
    </row>
    <row r="17" spans="1:5" x14ac:dyDescent="0.25">
      <c r="A17" s="125" t="s">
        <v>692</v>
      </c>
      <c r="B17" s="126" t="s">
        <v>685</v>
      </c>
      <c r="C17" s="127">
        <v>900</v>
      </c>
      <c r="D17" s="127"/>
      <c r="E17" s="128">
        <f>C17/$C$21</f>
        <v>5.9405940594059403E-2</v>
      </c>
    </row>
    <row r="18" spans="1:5" x14ac:dyDescent="0.25">
      <c r="A18" s="129"/>
      <c r="B18" s="126" t="s">
        <v>686</v>
      </c>
      <c r="C18" s="127">
        <v>16000</v>
      </c>
      <c r="D18" s="127"/>
      <c r="E18" s="128"/>
    </row>
    <row r="19" spans="1:5" x14ac:dyDescent="0.25">
      <c r="A19" s="125" t="s">
        <v>693</v>
      </c>
      <c r="B19" s="126" t="s">
        <v>685</v>
      </c>
      <c r="C19" s="127">
        <v>1100</v>
      </c>
      <c r="D19" s="127"/>
      <c r="E19" s="128">
        <f>C19/$C$21</f>
        <v>7.2607260726072612E-2</v>
      </c>
    </row>
    <row r="20" spans="1:5" x14ac:dyDescent="0.25">
      <c r="A20" s="129"/>
      <c r="B20" s="126" t="s">
        <v>686</v>
      </c>
      <c r="C20" s="127">
        <v>25000</v>
      </c>
      <c r="D20" s="127"/>
      <c r="E20" s="128"/>
    </row>
    <row r="21" spans="1:5" x14ac:dyDescent="0.25">
      <c r="A21" s="125" t="s">
        <v>694</v>
      </c>
      <c r="B21" s="126" t="s">
        <v>685</v>
      </c>
      <c r="C21" s="127">
        <f>SUM(C19,C17,C15,C13,C11,C9,C7,D4,C3,C2)</f>
        <v>15150</v>
      </c>
      <c r="D21" s="127"/>
      <c r="E21" s="128">
        <f>C21/$C$21</f>
        <v>1</v>
      </c>
    </row>
    <row r="22" spans="1:5" x14ac:dyDescent="0.25">
      <c r="A22" s="129"/>
      <c r="B22" s="126" t="s">
        <v>686</v>
      </c>
      <c r="C22" s="127">
        <f>SUM(C20,C18,C16,C14,C12,C10,C8,C6,C4,D2)</f>
        <v>308900</v>
      </c>
      <c r="D22" s="127"/>
      <c r="E22" s="128"/>
    </row>
  </sheetData>
  <mergeCells count="1">
    <mergeCell ref="A1:B1"/>
  </mergeCells>
  <phoneticPr fontId="4" type="noConversion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B1:I18"/>
  <sheetViews>
    <sheetView workbookViewId="0">
      <selection activeCell="O13" sqref="O13"/>
    </sheetView>
  </sheetViews>
  <sheetFormatPr defaultColWidth="8.8984375" defaultRowHeight="15.6" x14ac:dyDescent="0.25"/>
  <cols>
    <col min="1" max="6" width="8.8984375" style="74"/>
    <col min="7" max="7" width="10.19921875" style="74" bestFit="1" customWidth="1"/>
    <col min="8" max="16384" width="8.8984375" style="74"/>
  </cols>
  <sheetData>
    <row r="1" spans="2:9" ht="20.399999999999999" x14ac:dyDescent="0.3">
      <c r="B1" s="71" t="s">
        <v>632</v>
      </c>
      <c r="C1" s="72"/>
      <c r="D1" s="72"/>
      <c r="E1" s="72"/>
      <c r="F1" s="72"/>
      <c r="G1" s="73"/>
    </row>
    <row r="3" spans="2:9" ht="16.2" thickBot="1" x14ac:dyDescent="0.3">
      <c r="F3" s="74" t="s">
        <v>633</v>
      </c>
      <c r="G3" s="75">
        <f ca="1">NOW()</f>
        <v>43677.47633888889</v>
      </c>
      <c r="I3" s="75"/>
    </row>
    <row r="4" spans="2:9" ht="16.2" thickTop="1" x14ac:dyDescent="0.25">
      <c r="B4" s="76" t="s">
        <v>634</v>
      </c>
      <c r="C4" s="77" t="s">
        <v>635</v>
      </c>
      <c r="D4" s="77" t="s">
        <v>636</v>
      </c>
      <c r="E4" s="77" t="s">
        <v>637</v>
      </c>
      <c r="F4" s="77" t="s">
        <v>638</v>
      </c>
      <c r="G4" s="78" t="s">
        <v>639</v>
      </c>
    </row>
    <row r="5" spans="2:9" x14ac:dyDescent="0.25">
      <c r="B5" s="79" t="s">
        <v>640</v>
      </c>
      <c r="C5" s="80">
        <v>1775</v>
      </c>
      <c r="D5" s="80">
        <v>3</v>
      </c>
      <c r="E5" s="80">
        <v>2</v>
      </c>
      <c r="F5" s="80">
        <v>1775</v>
      </c>
      <c r="G5" s="81">
        <f>F5/$F$9</f>
        <v>0.33835303088067098</v>
      </c>
    </row>
    <row r="6" spans="2:9" x14ac:dyDescent="0.25">
      <c r="B6" s="79" t="s">
        <v>641</v>
      </c>
      <c r="C6" s="80">
        <v>1205</v>
      </c>
      <c r="D6" s="80">
        <v>3</v>
      </c>
      <c r="E6" s="80">
        <v>3</v>
      </c>
      <c r="F6" s="80">
        <v>1205</v>
      </c>
      <c r="G6" s="81">
        <f>F6/$F$9</f>
        <v>0.22969881814715973</v>
      </c>
    </row>
    <row r="7" spans="2:9" x14ac:dyDescent="0.25">
      <c r="B7" s="79" t="s">
        <v>642</v>
      </c>
      <c r="C7" s="80">
        <v>1286</v>
      </c>
      <c r="D7" s="80">
        <v>1</v>
      </c>
      <c r="E7" s="80">
        <v>1</v>
      </c>
      <c r="F7" s="80">
        <v>1286</v>
      </c>
      <c r="G7" s="81">
        <f>F7/$F$9</f>
        <v>0.24513915364086925</v>
      </c>
    </row>
    <row r="8" spans="2:9" x14ac:dyDescent="0.25">
      <c r="B8" s="82" t="s">
        <v>643</v>
      </c>
      <c r="C8" s="83">
        <v>980</v>
      </c>
      <c r="D8" s="83">
        <v>1</v>
      </c>
      <c r="E8" s="83">
        <v>3</v>
      </c>
      <c r="F8" s="83">
        <v>980</v>
      </c>
      <c r="G8" s="84">
        <f>F8/$F$9</f>
        <v>0.18680899733130005</v>
      </c>
    </row>
    <row r="9" spans="2:9" ht="16.2" thickBot="1" x14ac:dyDescent="0.3">
      <c r="B9" s="85" t="s">
        <v>644</v>
      </c>
      <c r="C9" s="86">
        <f>SUM(C5:C8)</f>
        <v>5246</v>
      </c>
      <c r="D9" s="86">
        <f>SUM(D5:D8)</f>
        <v>8</v>
      </c>
      <c r="E9" s="86">
        <f>SUM(E5:E8)</f>
        <v>9</v>
      </c>
      <c r="F9" s="86">
        <f>SUM(F5:F8)</f>
        <v>5246</v>
      </c>
      <c r="G9" s="87">
        <f>F9/$F$9</f>
        <v>1</v>
      </c>
    </row>
    <row r="10" spans="2:9" ht="16.2" thickTop="1" x14ac:dyDescent="0.25"/>
    <row r="12" spans="2:9" x14ac:dyDescent="0.25">
      <c r="B12" s="72" t="s">
        <v>645</v>
      </c>
      <c r="C12" s="72"/>
      <c r="D12" s="72"/>
    </row>
    <row r="14" spans="2:9" x14ac:dyDescent="0.25">
      <c r="B14" s="88" t="s">
        <v>634</v>
      </c>
      <c r="C14" s="89" t="s">
        <v>636</v>
      </c>
      <c r="D14" s="90" t="s">
        <v>637</v>
      </c>
    </row>
    <row r="15" spans="2:9" x14ac:dyDescent="0.25">
      <c r="B15" s="91" t="s">
        <v>640</v>
      </c>
      <c r="C15" s="92"/>
      <c r="D15" s="93"/>
    </row>
    <row r="16" spans="2:9" x14ac:dyDescent="0.25">
      <c r="B16" s="91" t="s">
        <v>641</v>
      </c>
      <c r="C16" s="92"/>
      <c r="D16" s="93"/>
    </row>
    <row r="17" spans="2:4" x14ac:dyDescent="0.25">
      <c r="B17" s="91" t="s">
        <v>642</v>
      </c>
      <c r="C17" s="92"/>
      <c r="D17" s="93"/>
    </row>
    <row r="18" spans="2:4" x14ac:dyDescent="0.25">
      <c r="B18" s="94" t="s">
        <v>643</v>
      </c>
      <c r="C18" s="95"/>
      <c r="D18" s="96"/>
    </row>
  </sheetData>
  <phoneticPr fontId="4" type="noConversion"/>
  <pageMargins left="0.75" right="0.75" top="1" bottom="1" header="0.5" footer="0.5"/>
  <headerFooter alignWithMargins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89" r:id="rId3" name="Button 1">
              <controlPr defaultSize="0" print="0" autoFill="0" autoPict="0" macro="[0]!매크로8_인구이동통계_절대참조">
                <anchor moveWithCells="1" sizeWithCells="1">
                  <from>
                    <xdr:col>8</xdr:col>
                    <xdr:colOff>617220</xdr:colOff>
                    <xdr:row>3</xdr:row>
                    <xdr:rowOff>83820</xdr:rowOff>
                  </from>
                  <to>
                    <xdr:col>12</xdr:col>
                    <xdr:colOff>0</xdr:colOff>
                    <xdr:row>7</xdr:row>
                    <xdr:rowOff>30480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2" filterMode="1"/>
  <dimension ref="B1:L59"/>
  <sheetViews>
    <sheetView workbookViewId="0">
      <pane ySplit="7" topLeftCell="A8" activePane="bottomLeft" state="frozen"/>
      <selection pane="bottomLeft" activeCell="P27" sqref="P27"/>
    </sheetView>
  </sheetViews>
  <sheetFormatPr defaultColWidth="8.8984375" defaultRowHeight="14.4" x14ac:dyDescent="0.25"/>
  <cols>
    <col min="1" max="1" width="5.796875" style="58" customWidth="1"/>
    <col min="2" max="2" width="6.69921875" style="58" customWidth="1"/>
    <col min="3" max="3" width="7.3984375" style="58" customWidth="1"/>
    <col min="4" max="4" width="10.19921875" style="58" customWidth="1"/>
    <col min="5" max="5" width="7.296875" style="58" customWidth="1"/>
    <col min="6" max="6" width="9.296875" style="58" customWidth="1"/>
    <col min="7" max="9" width="9.09765625" style="58" customWidth="1"/>
    <col min="10" max="16384" width="8.8984375" style="58"/>
  </cols>
  <sheetData>
    <row r="1" spans="2:12" s="46" customFormat="1" ht="15" thickBot="1" x14ac:dyDescent="0.3"/>
    <row r="2" spans="2:12" s="46" customFormat="1" ht="15.75" customHeight="1" thickTop="1" x14ac:dyDescent="0.25">
      <c r="F2" s="47"/>
      <c r="G2" s="48" t="s">
        <v>393</v>
      </c>
      <c r="H2" s="48" t="s">
        <v>394</v>
      </c>
      <c r="I2" s="49" t="s">
        <v>395</v>
      </c>
    </row>
    <row r="3" spans="2:12" s="46" customFormat="1" ht="15.75" customHeight="1" x14ac:dyDescent="0.25">
      <c r="F3" s="50" t="s">
        <v>395</v>
      </c>
      <c r="G3" s="51"/>
      <c r="H3" s="51"/>
      <c r="I3" s="52"/>
      <c r="K3" s="150" t="s">
        <v>730</v>
      </c>
      <c r="L3" s="150" t="s">
        <v>732</v>
      </c>
    </row>
    <row r="4" spans="2:12" s="46" customFormat="1" ht="15.75" customHeight="1" x14ac:dyDescent="0.25">
      <c r="F4" s="50" t="s">
        <v>396</v>
      </c>
      <c r="G4" s="51"/>
      <c r="H4" s="51"/>
      <c r="I4" s="52"/>
      <c r="K4" s="150" t="s">
        <v>731</v>
      </c>
    </row>
    <row r="5" spans="2:12" s="46" customFormat="1" ht="15.75" customHeight="1" x14ac:dyDescent="0.25">
      <c r="F5" s="50" t="s">
        <v>397</v>
      </c>
      <c r="G5" s="51"/>
      <c r="H5" s="51"/>
      <c r="I5" s="52"/>
      <c r="L5" s="150" t="s">
        <v>733</v>
      </c>
    </row>
    <row r="6" spans="2:12" s="46" customFormat="1" ht="15.75" customHeight="1" thickBot="1" x14ac:dyDescent="0.3">
      <c r="F6" s="53" t="s">
        <v>398</v>
      </c>
      <c r="G6" s="54"/>
      <c r="H6" s="54"/>
      <c r="I6" s="55"/>
    </row>
    <row r="7" spans="2:12" s="46" customFormat="1" ht="19.5" customHeight="1" thickTop="1" x14ac:dyDescent="0.25">
      <c r="I7" s="56"/>
    </row>
    <row r="9" spans="2:12" x14ac:dyDescent="0.25">
      <c r="B9" s="57" t="s">
        <v>399</v>
      </c>
      <c r="C9" s="57" t="s">
        <v>400</v>
      </c>
      <c r="D9" s="57" t="s">
        <v>401</v>
      </c>
      <c r="E9" s="57" t="s">
        <v>402</v>
      </c>
      <c r="F9" s="57" t="s">
        <v>403</v>
      </c>
      <c r="G9" s="57" t="s">
        <v>393</v>
      </c>
      <c r="H9" s="57" t="s">
        <v>394</v>
      </c>
      <c r="I9" s="57" t="s">
        <v>395</v>
      </c>
    </row>
    <row r="10" spans="2:12" hidden="1" x14ac:dyDescent="0.25">
      <c r="B10" s="59" t="s">
        <v>404</v>
      </c>
      <c r="C10" s="59" t="s">
        <v>405</v>
      </c>
      <c r="D10" s="60">
        <v>35341</v>
      </c>
      <c r="E10" s="59" t="s">
        <v>383</v>
      </c>
      <c r="F10" s="59" t="s">
        <v>384</v>
      </c>
      <c r="G10" s="61">
        <v>5623</v>
      </c>
      <c r="H10" s="61">
        <v>5769</v>
      </c>
      <c r="I10" s="62">
        <f t="shared" ref="I10:I41" si="0">SUM(G10:H10)</f>
        <v>11392</v>
      </c>
    </row>
    <row r="11" spans="2:12" x14ac:dyDescent="0.25">
      <c r="B11" s="63" t="s">
        <v>406</v>
      </c>
      <c r="C11" s="63" t="s">
        <v>407</v>
      </c>
      <c r="D11" s="64">
        <v>37512</v>
      </c>
      <c r="E11" s="63" t="s">
        <v>385</v>
      </c>
      <c r="F11" s="63" t="s">
        <v>384</v>
      </c>
      <c r="G11" s="65">
        <v>7342</v>
      </c>
      <c r="H11" s="65">
        <v>9033</v>
      </c>
      <c r="I11" s="66">
        <f t="shared" si="0"/>
        <v>16375</v>
      </c>
    </row>
    <row r="12" spans="2:12" hidden="1" x14ac:dyDescent="0.25">
      <c r="B12" s="63" t="s">
        <v>408</v>
      </c>
      <c r="C12" s="63" t="s">
        <v>409</v>
      </c>
      <c r="D12" s="64">
        <v>33091</v>
      </c>
      <c r="E12" s="63" t="s">
        <v>383</v>
      </c>
      <c r="F12" s="63" t="s">
        <v>386</v>
      </c>
      <c r="G12" s="65">
        <v>7505</v>
      </c>
      <c r="H12" s="65">
        <v>5100</v>
      </c>
      <c r="I12" s="66">
        <f t="shared" si="0"/>
        <v>12605</v>
      </c>
    </row>
    <row r="13" spans="2:12" hidden="1" x14ac:dyDescent="0.25">
      <c r="B13" s="63" t="s">
        <v>410</v>
      </c>
      <c r="C13" s="63" t="s">
        <v>411</v>
      </c>
      <c r="D13" s="64">
        <v>37097</v>
      </c>
      <c r="E13" s="63" t="s">
        <v>387</v>
      </c>
      <c r="F13" s="63" t="s">
        <v>384</v>
      </c>
      <c r="G13" s="65">
        <v>5793</v>
      </c>
      <c r="H13" s="65">
        <v>6955</v>
      </c>
      <c r="I13" s="66">
        <f t="shared" si="0"/>
        <v>12748</v>
      </c>
    </row>
    <row r="14" spans="2:12" x14ac:dyDescent="0.25">
      <c r="B14" s="63" t="s">
        <v>412</v>
      </c>
      <c r="C14" s="63" t="s">
        <v>413</v>
      </c>
      <c r="D14" s="64">
        <v>33427</v>
      </c>
      <c r="E14" s="63" t="s">
        <v>387</v>
      </c>
      <c r="F14" s="63" t="s">
        <v>388</v>
      </c>
      <c r="G14" s="65">
        <v>8679</v>
      </c>
      <c r="H14" s="65">
        <v>6185</v>
      </c>
      <c r="I14" s="66">
        <f t="shared" si="0"/>
        <v>14864</v>
      </c>
    </row>
    <row r="15" spans="2:12" hidden="1" x14ac:dyDescent="0.25">
      <c r="B15" s="63" t="s">
        <v>414</v>
      </c>
      <c r="C15" s="63" t="s">
        <v>415</v>
      </c>
      <c r="D15" s="64">
        <v>37363</v>
      </c>
      <c r="E15" s="63" t="s">
        <v>387</v>
      </c>
      <c r="F15" s="63" t="s">
        <v>384</v>
      </c>
      <c r="G15" s="65">
        <v>6750</v>
      </c>
      <c r="H15" s="65">
        <v>5626</v>
      </c>
      <c r="I15" s="66">
        <f t="shared" si="0"/>
        <v>12376</v>
      </c>
    </row>
    <row r="16" spans="2:12" hidden="1" x14ac:dyDescent="0.25">
      <c r="B16" s="63" t="s">
        <v>416</v>
      </c>
      <c r="C16" s="63" t="s">
        <v>417</v>
      </c>
      <c r="D16" s="64">
        <v>35510</v>
      </c>
      <c r="E16" s="63" t="s">
        <v>389</v>
      </c>
      <c r="F16" s="63" t="s">
        <v>386</v>
      </c>
      <c r="G16" s="65">
        <v>7091</v>
      </c>
      <c r="H16" s="65">
        <v>7507</v>
      </c>
      <c r="I16" s="66">
        <f t="shared" si="0"/>
        <v>14598</v>
      </c>
    </row>
    <row r="17" spans="2:9" x14ac:dyDescent="0.25">
      <c r="B17" s="63" t="s">
        <v>418</v>
      </c>
      <c r="C17" s="63" t="s">
        <v>419</v>
      </c>
      <c r="D17" s="64">
        <v>36696</v>
      </c>
      <c r="E17" s="63" t="s">
        <v>390</v>
      </c>
      <c r="F17" s="63" t="s">
        <v>388</v>
      </c>
      <c r="G17" s="65">
        <v>8916</v>
      </c>
      <c r="H17" s="65">
        <v>5246</v>
      </c>
      <c r="I17" s="66">
        <f t="shared" si="0"/>
        <v>14162</v>
      </c>
    </row>
    <row r="18" spans="2:9" x14ac:dyDescent="0.25">
      <c r="B18" s="63" t="s">
        <v>420</v>
      </c>
      <c r="C18" s="63" t="s">
        <v>421</v>
      </c>
      <c r="D18" s="64">
        <v>37422</v>
      </c>
      <c r="E18" s="63" t="s">
        <v>390</v>
      </c>
      <c r="F18" s="63" t="s">
        <v>388</v>
      </c>
      <c r="G18" s="65">
        <v>8735</v>
      </c>
      <c r="H18" s="65">
        <v>8034</v>
      </c>
      <c r="I18" s="66">
        <f t="shared" si="0"/>
        <v>16769</v>
      </c>
    </row>
    <row r="19" spans="2:9" hidden="1" x14ac:dyDescent="0.25">
      <c r="B19" s="63" t="s">
        <v>422</v>
      </c>
      <c r="C19" s="63" t="s">
        <v>423</v>
      </c>
      <c r="D19" s="64">
        <v>35641</v>
      </c>
      <c r="E19" s="63" t="s">
        <v>387</v>
      </c>
      <c r="F19" s="63" t="s">
        <v>391</v>
      </c>
      <c r="G19" s="65">
        <v>6402</v>
      </c>
      <c r="H19" s="65">
        <v>7978</v>
      </c>
      <c r="I19" s="66">
        <f t="shared" si="0"/>
        <v>14380</v>
      </c>
    </row>
    <row r="20" spans="2:9" hidden="1" x14ac:dyDescent="0.25">
      <c r="B20" s="63" t="s">
        <v>424</v>
      </c>
      <c r="C20" s="63" t="s">
        <v>425</v>
      </c>
      <c r="D20" s="64">
        <v>35946</v>
      </c>
      <c r="E20" s="63" t="s">
        <v>383</v>
      </c>
      <c r="F20" s="63" t="s">
        <v>392</v>
      </c>
      <c r="G20" s="65">
        <v>5918</v>
      </c>
      <c r="H20" s="65">
        <v>7197</v>
      </c>
      <c r="I20" s="66">
        <f t="shared" si="0"/>
        <v>13115</v>
      </c>
    </row>
    <row r="21" spans="2:9" hidden="1" x14ac:dyDescent="0.25">
      <c r="B21" s="63" t="s">
        <v>426</v>
      </c>
      <c r="C21" s="63" t="s">
        <v>427</v>
      </c>
      <c r="D21" s="64">
        <v>34542</v>
      </c>
      <c r="E21" s="63" t="s">
        <v>389</v>
      </c>
      <c r="F21" s="63" t="s">
        <v>386</v>
      </c>
      <c r="G21" s="65">
        <v>5848</v>
      </c>
      <c r="H21" s="65">
        <v>7821</v>
      </c>
      <c r="I21" s="66">
        <f t="shared" si="0"/>
        <v>13669</v>
      </c>
    </row>
    <row r="22" spans="2:9" hidden="1" x14ac:dyDescent="0.25">
      <c r="B22" s="63" t="s">
        <v>428</v>
      </c>
      <c r="C22" s="63" t="s">
        <v>429</v>
      </c>
      <c r="D22" s="64">
        <v>34162</v>
      </c>
      <c r="E22" s="63" t="s">
        <v>390</v>
      </c>
      <c r="F22" s="63" t="s">
        <v>386</v>
      </c>
      <c r="G22" s="65">
        <v>9931</v>
      </c>
      <c r="H22" s="65">
        <v>9625</v>
      </c>
      <c r="I22" s="66">
        <f t="shared" si="0"/>
        <v>19556</v>
      </c>
    </row>
    <row r="23" spans="2:9" hidden="1" x14ac:dyDescent="0.25">
      <c r="B23" s="63" t="s">
        <v>430</v>
      </c>
      <c r="C23" s="63" t="s">
        <v>431</v>
      </c>
      <c r="D23" s="64">
        <v>36209</v>
      </c>
      <c r="E23" s="63" t="s">
        <v>387</v>
      </c>
      <c r="F23" s="63" t="s">
        <v>391</v>
      </c>
      <c r="G23" s="65">
        <v>7520</v>
      </c>
      <c r="H23" s="65">
        <v>6827</v>
      </c>
      <c r="I23" s="66">
        <f t="shared" si="0"/>
        <v>14347</v>
      </c>
    </row>
    <row r="24" spans="2:9" x14ac:dyDescent="0.25">
      <c r="B24" s="63" t="s">
        <v>432</v>
      </c>
      <c r="C24" s="63" t="s">
        <v>433</v>
      </c>
      <c r="D24" s="64">
        <v>33946</v>
      </c>
      <c r="E24" s="63" t="s">
        <v>389</v>
      </c>
      <c r="F24" s="63" t="s">
        <v>388</v>
      </c>
      <c r="G24" s="65">
        <v>9809</v>
      </c>
      <c r="H24" s="65">
        <v>5623</v>
      </c>
      <c r="I24" s="66">
        <f t="shared" si="0"/>
        <v>15432</v>
      </c>
    </row>
    <row r="25" spans="2:9" x14ac:dyDescent="0.25">
      <c r="B25" s="63" t="s">
        <v>434</v>
      </c>
      <c r="C25" s="63" t="s">
        <v>435</v>
      </c>
      <c r="D25" s="64">
        <v>35934</v>
      </c>
      <c r="E25" s="63" t="s">
        <v>385</v>
      </c>
      <c r="F25" s="63" t="s">
        <v>392</v>
      </c>
      <c r="G25" s="65">
        <v>9518</v>
      </c>
      <c r="H25" s="65">
        <v>6990</v>
      </c>
      <c r="I25" s="66">
        <f t="shared" si="0"/>
        <v>16508</v>
      </c>
    </row>
    <row r="26" spans="2:9" x14ac:dyDescent="0.25">
      <c r="B26" s="63" t="s">
        <v>436</v>
      </c>
      <c r="C26" s="63" t="s">
        <v>437</v>
      </c>
      <c r="D26" s="64">
        <v>34862</v>
      </c>
      <c r="E26" s="63" t="s">
        <v>390</v>
      </c>
      <c r="F26" s="63" t="s">
        <v>388</v>
      </c>
      <c r="G26" s="65">
        <v>6553</v>
      </c>
      <c r="H26" s="65">
        <v>5493</v>
      </c>
      <c r="I26" s="66">
        <f t="shared" si="0"/>
        <v>12046</v>
      </c>
    </row>
    <row r="27" spans="2:9" x14ac:dyDescent="0.25">
      <c r="B27" s="63" t="s">
        <v>438</v>
      </c>
      <c r="C27" s="63" t="s">
        <v>439</v>
      </c>
      <c r="D27" s="64">
        <v>34331</v>
      </c>
      <c r="E27" s="63" t="s">
        <v>385</v>
      </c>
      <c r="F27" s="63" t="s">
        <v>384</v>
      </c>
      <c r="G27" s="65">
        <v>9036</v>
      </c>
      <c r="H27" s="65">
        <v>9593</v>
      </c>
      <c r="I27" s="66">
        <f t="shared" si="0"/>
        <v>18629</v>
      </c>
    </row>
    <row r="28" spans="2:9" hidden="1" x14ac:dyDescent="0.25">
      <c r="B28" s="63" t="s">
        <v>440</v>
      </c>
      <c r="C28" s="63" t="s">
        <v>441</v>
      </c>
      <c r="D28" s="64">
        <v>37185</v>
      </c>
      <c r="E28" s="63" t="s">
        <v>383</v>
      </c>
      <c r="F28" s="63" t="s">
        <v>386</v>
      </c>
      <c r="G28" s="65">
        <v>9332</v>
      </c>
      <c r="H28" s="65">
        <v>7818</v>
      </c>
      <c r="I28" s="66">
        <f t="shared" si="0"/>
        <v>17150</v>
      </c>
    </row>
    <row r="29" spans="2:9" hidden="1" x14ac:dyDescent="0.25">
      <c r="B29" s="63" t="s">
        <v>442</v>
      </c>
      <c r="C29" s="63" t="s">
        <v>443</v>
      </c>
      <c r="D29" s="64">
        <v>36959</v>
      </c>
      <c r="E29" s="63" t="s">
        <v>389</v>
      </c>
      <c r="F29" s="63" t="s">
        <v>392</v>
      </c>
      <c r="G29" s="65">
        <v>6602</v>
      </c>
      <c r="H29" s="65">
        <v>6308</v>
      </c>
      <c r="I29" s="66">
        <f t="shared" si="0"/>
        <v>12910</v>
      </c>
    </row>
    <row r="30" spans="2:9" hidden="1" x14ac:dyDescent="0.25">
      <c r="B30" s="63" t="s">
        <v>444</v>
      </c>
      <c r="C30" s="63" t="s">
        <v>445</v>
      </c>
      <c r="D30" s="64">
        <v>36970</v>
      </c>
      <c r="E30" s="63" t="s">
        <v>387</v>
      </c>
      <c r="F30" s="63" t="s">
        <v>391</v>
      </c>
      <c r="G30" s="65">
        <v>6079</v>
      </c>
      <c r="H30" s="65">
        <v>9518</v>
      </c>
      <c r="I30" s="66">
        <f t="shared" si="0"/>
        <v>15597</v>
      </c>
    </row>
    <row r="31" spans="2:9" x14ac:dyDescent="0.25">
      <c r="B31" s="63" t="s">
        <v>446</v>
      </c>
      <c r="C31" s="63" t="s">
        <v>447</v>
      </c>
      <c r="D31" s="64">
        <v>36531</v>
      </c>
      <c r="E31" s="63" t="s">
        <v>385</v>
      </c>
      <c r="F31" s="63" t="s">
        <v>384</v>
      </c>
      <c r="G31" s="65">
        <v>7602</v>
      </c>
      <c r="H31" s="65">
        <v>7587</v>
      </c>
      <c r="I31" s="66">
        <f t="shared" si="0"/>
        <v>15189</v>
      </c>
    </row>
    <row r="32" spans="2:9" hidden="1" x14ac:dyDescent="0.25">
      <c r="B32" s="63" t="s">
        <v>448</v>
      </c>
      <c r="C32" s="63" t="s">
        <v>449</v>
      </c>
      <c r="D32" s="64">
        <v>33781</v>
      </c>
      <c r="E32" s="63" t="s">
        <v>387</v>
      </c>
      <c r="F32" s="63" t="s">
        <v>392</v>
      </c>
      <c r="G32" s="65">
        <v>5166</v>
      </c>
      <c r="H32" s="65">
        <v>5781</v>
      </c>
      <c r="I32" s="66">
        <f t="shared" si="0"/>
        <v>10947</v>
      </c>
    </row>
    <row r="33" spans="2:9" hidden="1" x14ac:dyDescent="0.25">
      <c r="B33" s="63" t="s">
        <v>450</v>
      </c>
      <c r="C33" s="63" t="s">
        <v>451</v>
      </c>
      <c r="D33" s="64">
        <v>36344</v>
      </c>
      <c r="E33" s="63" t="s">
        <v>387</v>
      </c>
      <c r="F33" s="63" t="s">
        <v>392</v>
      </c>
      <c r="G33" s="65">
        <v>9962</v>
      </c>
      <c r="H33" s="65">
        <v>5730</v>
      </c>
      <c r="I33" s="66">
        <f t="shared" si="0"/>
        <v>15692</v>
      </c>
    </row>
    <row r="34" spans="2:9" hidden="1" x14ac:dyDescent="0.25">
      <c r="B34" s="63" t="s">
        <v>452</v>
      </c>
      <c r="C34" s="63" t="s">
        <v>453</v>
      </c>
      <c r="D34" s="64">
        <v>34036</v>
      </c>
      <c r="E34" s="63" t="s">
        <v>387</v>
      </c>
      <c r="F34" s="63" t="s">
        <v>384</v>
      </c>
      <c r="G34" s="65">
        <v>5613</v>
      </c>
      <c r="H34" s="65">
        <v>6021</v>
      </c>
      <c r="I34" s="66">
        <f t="shared" si="0"/>
        <v>11634</v>
      </c>
    </row>
    <row r="35" spans="2:9" hidden="1" x14ac:dyDescent="0.25">
      <c r="B35" s="63" t="s">
        <v>454</v>
      </c>
      <c r="C35" s="63" t="s">
        <v>455</v>
      </c>
      <c r="D35" s="64">
        <v>37473</v>
      </c>
      <c r="E35" s="63" t="s">
        <v>456</v>
      </c>
      <c r="F35" s="63" t="s">
        <v>457</v>
      </c>
      <c r="G35" s="65">
        <v>9125</v>
      </c>
      <c r="H35" s="65">
        <v>6964</v>
      </c>
      <c r="I35" s="66">
        <f t="shared" si="0"/>
        <v>16089</v>
      </c>
    </row>
    <row r="36" spans="2:9" x14ac:dyDescent="0.25">
      <c r="B36" s="63" t="s">
        <v>458</v>
      </c>
      <c r="C36" s="63" t="s">
        <v>459</v>
      </c>
      <c r="D36" s="64">
        <v>33696</v>
      </c>
      <c r="E36" s="63" t="s">
        <v>460</v>
      </c>
      <c r="F36" s="63" t="s">
        <v>461</v>
      </c>
      <c r="G36" s="65">
        <v>9183</v>
      </c>
      <c r="H36" s="65">
        <v>8362</v>
      </c>
      <c r="I36" s="66">
        <f t="shared" si="0"/>
        <v>17545</v>
      </c>
    </row>
    <row r="37" spans="2:9" x14ac:dyDescent="0.25">
      <c r="B37" s="63" t="s">
        <v>462</v>
      </c>
      <c r="C37" s="63" t="s">
        <v>463</v>
      </c>
      <c r="D37" s="64">
        <v>35722</v>
      </c>
      <c r="E37" s="63" t="s">
        <v>460</v>
      </c>
      <c r="F37" s="63" t="s">
        <v>464</v>
      </c>
      <c r="G37" s="65">
        <v>5746</v>
      </c>
      <c r="H37" s="65">
        <v>9571</v>
      </c>
      <c r="I37" s="66">
        <f t="shared" si="0"/>
        <v>15317</v>
      </c>
    </row>
    <row r="38" spans="2:9" hidden="1" x14ac:dyDescent="0.25">
      <c r="B38" s="63" t="s">
        <v>465</v>
      </c>
      <c r="C38" s="63" t="s">
        <v>466</v>
      </c>
      <c r="D38" s="64">
        <v>33038</v>
      </c>
      <c r="E38" s="63" t="s">
        <v>467</v>
      </c>
      <c r="F38" s="63" t="s">
        <v>457</v>
      </c>
      <c r="G38" s="65">
        <v>5398</v>
      </c>
      <c r="H38" s="65">
        <v>7053</v>
      </c>
      <c r="I38" s="66">
        <f t="shared" si="0"/>
        <v>12451</v>
      </c>
    </row>
    <row r="39" spans="2:9" hidden="1" x14ac:dyDescent="0.25">
      <c r="B39" s="63" t="s">
        <v>468</v>
      </c>
      <c r="C39" s="63" t="s">
        <v>469</v>
      </c>
      <c r="D39" s="64">
        <v>35596</v>
      </c>
      <c r="E39" s="63" t="s">
        <v>470</v>
      </c>
      <c r="F39" s="63" t="s">
        <v>457</v>
      </c>
      <c r="G39" s="65">
        <v>7810</v>
      </c>
      <c r="H39" s="65">
        <v>5850</v>
      </c>
      <c r="I39" s="66">
        <f t="shared" si="0"/>
        <v>13660</v>
      </c>
    </row>
    <row r="40" spans="2:9" hidden="1" x14ac:dyDescent="0.25">
      <c r="B40" s="63" t="s">
        <v>471</v>
      </c>
      <c r="C40" s="63" t="s">
        <v>472</v>
      </c>
      <c r="D40" s="64">
        <v>33022</v>
      </c>
      <c r="E40" s="63" t="s">
        <v>473</v>
      </c>
      <c r="F40" s="63" t="s">
        <v>457</v>
      </c>
      <c r="G40" s="65">
        <v>7798</v>
      </c>
      <c r="H40" s="65">
        <v>8233</v>
      </c>
      <c r="I40" s="66">
        <f t="shared" si="0"/>
        <v>16031</v>
      </c>
    </row>
    <row r="41" spans="2:9" hidden="1" x14ac:dyDescent="0.25">
      <c r="B41" s="63" t="s">
        <v>474</v>
      </c>
      <c r="C41" s="63" t="s">
        <v>475</v>
      </c>
      <c r="D41" s="64">
        <v>33043</v>
      </c>
      <c r="E41" s="63" t="s">
        <v>470</v>
      </c>
      <c r="F41" s="63" t="s">
        <v>461</v>
      </c>
      <c r="G41" s="65">
        <v>8465</v>
      </c>
      <c r="H41" s="65">
        <v>6612</v>
      </c>
      <c r="I41" s="66">
        <f t="shared" si="0"/>
        <v>15077</v>
      </c>
    </row>
    <row r="42" spans="2:9" hidden="1" x14ac:dyDescent="0.25">
      <c r="B42" s="63" t="s">
        <v>476</v>
      </c>
      <c r="C42" s="63" t="s">
        <v>477</v>
      </c>
      <c r="D42" s="64">
        <v>36377</v>
      </c>
      <c r="E42" s="63" t="s">
        <v>470</v>
      </c>
      <c r="F42" s="63" t="s">
        <v>478</v>
      </c>
      <c r="G42" s="65">
        <v>7812</v>
      </c>
      <c r="H42" s="65">
        <v>7314</v>
      </c>
      <c r="I42" s="66">
        <f t="shared" ref="I42:I59" si="1">SUM(G42:H42)</f>
        <v>15126</v>
      </c>
    </row>
    <row r="43" spans="2:9" x14ac:dyDescent="0.25">
      <c r="B43" s="63" t="s">
        <v>479</v>
      </c>
      <c r="C43" s="63" t="s">
        <v>480</v>
      </c>
      <c r="D43" s="64">
        <v>35802</v>
      </c>
      <c r="E43" s="63" t="s">
        <v>460</v>
      </c>
      <c r="F43" s="63" t="s">
        <v>481</v>
      </c>
      <c r="G43" s="65">
        <v>9559</v>
      </c>
      <c r="H43" s="65">
        <v>7425</v>
      </c>
      <c r="I43" s="66">
        <f t="shared" si="1"/>
        <v>16984</v>
      </c>
    </row>
    <row r="44" spans="2:9" hidden="1" x14ac:dyDescent="0.25">
      <c r="B44" s="63" t="s">
        <v>482</v>
      </c>
      <c r="C44" s="63" t="s">
        <v>483</v>
      </c>
      <c r="D44" s="64">
        <v>34815</v>
      </c>
      <c r="E44" s="63" t="s">
        <v>467</v>
      </c>
      <c r="F44" s="63" t="s">
        <v>464</v>
      </c>
      <c r="G44" s="65">
        <v>9311</v>
      </c>
      <c r="H44" s="65">
        <v>7915</v>
      </c>
      <c r="I44" s="66">
        <f t="shared" si="1"/>
        <v>17226</v>
      </c>
    </row>
    <row r="45" spans="2:9" hidden="1" x14ac:dyDescent="0.25">
      <c r="B45" s="63" t="s">
        <v>484</v>
      </c>
      <c r="C45" s="63" t="s">
        <v>485</v>
      </c>
      <c r="D45" s="64">
        <v>36832</v>
      </c>
      <c r="E45" s="63" t="s">
        <v>467</v>
      </c>
      <c r="F45" s="63" t="s">
        <v>457</v>
      </c>
      <c r="G45" s="65">
        <v>8006</v>
      </c>
      <c r="H45" s="65">
        <v>5591</v>
      </c>
      <c r="I45" s="66">
        <f t="shared" si="1"/>
        <v>13597</v>
      </c>
    </row>
    <row r="46" spans="2:9" x14ac:dyDescent="0.25">
      <c r="B46" s="63" t="s">
        <v>486</v>
      </c>
      <c r="C46" s="63" t="s">
        <v>487</v>
      </c>
      <c r="D46" s="64">
        <v>33244</v>
      </c>
      <c r="E46" s="63" t="s">
        <v>460</v>
      </c>
      <c r="F46" s="63" t="s">
        <v>481</v>
      </c>
      <c r="G46" s="65">
        <v>7314</v>
      </c>
      <c r="H46" s="65">
        <v>7334</v>
      </c>
      <c r="I46" s="66">
        <f t="shared" si="1"/>
        <v>14648</v>
      </c>
    </row>
    <row r="47" spans="2:9" hidden="1" x14ac:dyDescent="0.25">
      <c r="B47" s="63" t="s">
        <v>488</v>
      </c>
      <c r="C47" s="63" t="s">
        <v>489</v>
      </c>
      <c r="D47" s="64">
        <v>35158</v>
      </c>
      <c r="E47" s="63" t="s">
        <v>470</v>
      </c>
      <c r="F47" s="63" t="s">
        <v>461</v>
      </c>
      <c r="G47" s="65">
        <v>8675</v>
      </c>
      <c r="H47" s="65">
        <v>6686</v>
      </c>
      <c r="I47" s="66">
        <f t="shared" si="1"/>
        <v>15361</v>
      </c>
    </row>
    <row r="48" spans="2:9" hidden="1" x14ac:dyDescent="0.25">
      <c r="B48" s="63" t="s">
        <v>490</v>
      </c>
      <c r="C48" s="63" t="s">
        <v>491</v>
      </c>
      <c r="D48" s="64">
        <v>35261</v>
      </c>
      <c r="E48" s="63" t="s">
        <v>473</v>
      </c>
      <c r="F48" s="63" t="s">
        <v>457</v>
      </c>
      <c r="G48" s="65">
        <v>8894</v>
      </c>
      <c r="H48" s="65">
        <v>7920</v>
      </c>
      <c r="I48" s="66">
        <f t="shared" si="1"/>
        <v>16814</v>
      </c>
    </row>
    <row r="49" spans="2:9" hidden="1" x14ac:dyDescent="0.25">
      <c r="B49" s="63" t="s">
        <v>492</v>
      </c>
      <c r="C49" s="63" t="s">
        <v>493</v>
      </c>
      <c r="D49" s="64">
        <v>34684</v>
      </c>
      <c r="E49" s="63" t="s">
        <v>456</v>
      </c>
      <c r="F49" s="63" t="s">
        <v>457</v>
      </c>
      <c r="G49" s="65">
        <v>5089</v>
      </c>
      <c r="H49" s="65">
        <v>9433</v>
      </c>
      <c r="I49" s="66">
        <f t="shared" si="1"/>
        <v>14522</v>
      </c>
    </row>
    <row r="50" spans="2:9" hidden="1" x14ac:dyDescent="0.25">
      <c r="B50" s="63" t="s">
        <v>494</v>
      </c>
      <c r="C50" s="63" t="s">
        <v>495</v>
      </c>
      <c r="D50" s="64">
        <v>35777</v>
      </c>
      <c r="E50" s="63" t="s">
        <v>473</v>
      </c>
      <c r="F50" s="63" t="s">
        <v>457</v>
      </c>
      <c r="G50" s="65">
        <v>6031</v>
      </c>
      <c r="H50" s="65">
        <v>5479</v>
      </c>
      <c r="I50" s="66">
        <f t="shared" si="1"/>
        <v>11510</v>
      </c>
    </row>
    <row r="51" spans="2:9" hidden="1" x14ac:dyDescent="0.25">
      <c r="B51" s="63" t="s">
        <v>496</v>
      </c>
      <c r="C51" s="63" t="s">
        <v>497</v>
      </c>
      <c r="D51" s="64">
        <v>36193</v>
      </c>
      <c r="E51" s="63" t="s">
        <v>470</v>
      </c>
      <c r="F51" s="63" t="s">
        <v>464</v>
      </c>
      <c r="G51" s="65">
        <v>8349</v>
      </c>
      <c r="H51" s="65">
        <v>6852</v>
      </c>
      <c r="I51" s="66">
        <f t="shared" si="1"/>
        <v>15201</v>
      </c>
    </row>
    <row r="52" spans="2:9" x14ac:dyDescent="0.25">
      <c r="B52" s="63" t="s">
        <v>498</v>
      </c>
      <c r="C52" s="63" t="s">
        <v>499</v>
      </c>
      <c r="D52" s="64">
        <v>36761</v>
      </c>
      <c r="E52" s="63" t="s">
        <v>460</v>
      </c>
      <c r="F52" s="63" t="s">
        <v>464</v>
      </c>
      <c r="G52" s="65">
        <v>9128</v>
      </c>
      <c r="H52" s="65">
        <v>9363</v>
      </c>
      <c r="I52" s="66">
        <f t="shared" si="1"/>
        <v>18491</v>
      </c>
    </row>
    <row r="53" spans="2:9" hidden="1" x14ac:dyDescent="0.25">
      <c r="B53" s="63" t="s">
        <v>500</v>
      </c>
      <c r="C53" s="63" t="s">
        <v>501</v>
      </c>
      <c r="D53" s="64">
        <v>36046</v>
      </c>
      <c r="E53" s="63" t="s">
        <v>467</v>
      </c>
      <c r="F53" s="63" t="s">
        <v>457</v>
      </c>
      <c r="G53" s="65">
        <v>8059</v>
      </c>
      <c r="H53" s="65">
        <v>6717</v>
      </c>
      <c r="I53" s="66">
        <f t="shared" si="1"/>
        <v>14776</v>
      </c>
    </row>
    <row r="54" spans="2:9" hidden="1" x14ac:dyDescent="0.25">
      <c r="B54" s="63" t="s">
        <v>502</v>
      </c>
      <c r="C54" s="63" t="s">
        <v>503</v>
      </c>
      <c r="D54" s="64">
        <v>32978</v>
      </c>
      <c r="E54" s="63" t="s">
        <v>467</v>
      </c>
      <c r="F54" s="63" t="s">
        <v>457</v>
      </c>
      <c r="G54" s="65">
        <v>9912</v>
      </c>
      <c r="H54" s="65">
        <v>9751</v>
      </c>
      <c r="I54" s="66">
        <f t="shared" si="1"/>
        <v>19663</v>
      </c>
    </row>
    <row r="55" spans="2:9" x14ac:dyDescent="0.25">
      <c r="B55" s="63" t="s">
        <v>504</v>
      </c>
      <c r="C55" s="63" t="s">
        <v>505</v>
      </c>
      <c r="D55" s="64">
        <v>37076</v>
      </c>
      <c r="E55" s="63" t="s">
        <v>460</v>
      </c>
      <c r="F55" s="63" t="s">
        <v>461</v>
      </c>
      <c r="G55" s="65">
        <v>6951</v>
      </c>
      <c r="H55" s="65">
        <v>6513</v>
      </c>
      <c r="I55" s="66">
        <f t="shared" si="1"/>
        <v>13464</v>
      </c>
    </row>
    <row r="56" spans="2:9" x14ac:dyDescent="0.25">
      <c r="B56" s="63" t="s">
        <v>506</v>
      </c>
      <c r="C56" s="63" t="s">
        <v>507</v>
      </c>
      <c r="D56" s="64">
        <v>36211</v>
      </c>
      <c r="E56" s="63" t="s">
        <v>470</v>
      </c>
      <c r="F56" s="63" t="s">
        <v>481</v>
      </c>
      <c r="G56" s="65">
        <v>5440</v>
      </c>
      <c r="H56" s="65">
        <v>9905</v>
      </c>
      <c r="I56" s="66">
        <f t="shared" si="1"/>
        <v>15345</v>
      </c>
    </row>
    <row r="57" spans="2:9" hidden="1" x14ac:dyDescent="0.25">
      <c r="B57" s="63" t="s">
        <v>508</v>
      </c>
      <c r="C57" s="63" t="s">
        <v>509</v>
      </c>
      <c r="D57" s="64">
        <v>36304</v>
      </c>
      <c r="E57" s="63" t="s">
        <v>473</v>
      </c>
      <c r="F57" s="63" t="s">
        <v>478</v>
      </c>
      <c r="G57" s="65">
        <v>5930</v>
      </c>
      <c r="H57" s="65">
        <v>8247</v>
      </c>
      <c r="I57" s="66">
        <f t="shared" si="1"/>
        <v>14177</v>
      </c>
    </row>
    <row r="58" spans="2:9" hidden="1" x14ac:dyDescent="0.25">
      <c r="B58" s="63" t="s">
        <v>510</v>
      </c>
      <c r="C58" s="63" t="s">
        <v>511</v>
      </c>
      <c r="D58" s="64">
        <v>35907</v>
      </c>
      <c r="E58" s="63" t="s">
        <v>456</v>
      </c>
      <c r="F58" s="63" t="s">
        <v>464</v>
      </c>
      <c r="G58" s="65">
        <v>5317</v>
      </c>
      <c r="H58" s="65">
        <v>7704</v>
      </c>
      <c r="I58" s="66">
        <f t="shared" si="1"/>
        <v>13021</v>
      </c>
    </row>
    <row r="59" spans="2:9" hidden="1" x14ac:dyDescent="0.25">
      <c r="B59" s="67" t="s">
        <v>512</v>
      </c>
      <c r="C59" s="67" t="s">
        <v>513</v>
      </c>
      <c r="D59" s="68">
        <v>33657</v>
      </c>
      <c r="E59" s="67" t="s">
        <v>473</v>
      </c>
      <c r="F59" s="67" t="s">
        <v>457</v>
      </c>
      <c r="G59" s="69">
        <v>9383</v>
      </c>
      <c r="H59" s="69">
        <v>6308</v>
      </c>
      <c r="I59" s="70">
        <f t="shared" si="1"/>
        <v>15691</v>
      </c>
    </row>
  </sheetData>
  <phoneticPr fontId="4" type="noConversion"/>
  <pageMargins left="0.75" right="0.75" top="1" bottom="1" header="0.5" footer="0.5"/>
  <pageSetup paperSize="9" orientation="portrait" horizontalDpi="300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3" r:id="rId4" name="Button 9">
              <controlPr defaultSize="0" print="0" autoFill="0" autoPict="0" macro="[0]!매크로9_자동필터_검색">
                <anchor moveWithCells="1" sizeWithCells="1">
                  <from>
                    <xdr:col>12</xdr:col>
                    <xdr:colOff>190500</xdr:colOff>
                    <xdr:row>2</xdr:row>
                    <xdr:rowOff>99060</xdr:rowOff>
                  </from>
                  <to>
                    <xdr:col>14</xdr:col>
                    <xdr:colOff>121920</xdr:colOff>
                    <xdr:row>5</xdr:row>
                    <xdr:rowOff>160020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B1:J59"/>
  <sheetViews>
    <sheetView workbookViewId="0">
      <pane ySplit="7" topLeftCell="A8" activePane="bottomLeft" state="frozen"/>
      <selection pane="bottomLeft" activeCell="K17" sqref="K17"/>
    </sheetView>
  </sheetViews>
  <sheetFormatPr defaultColWidth="8.8984375" defaultRowHeight="14.4" x14ac:dyDescent="0.25"/>
  <cols>
    <col min="1" max="1" width="5.796875" style="58" customWidth="1"/>
    <col min="2" max="2" width="6.69921875" style="58" customWidth="1"/>
    <col min="3" max="3" width="7.3984375" style="58" customWidth="1"/>
    <col min="4" max="4" width="10.19921875" style="58" customWidth="1"/>
    <col min="5" max="5" width="7.296875" style="58" customWidth="1"/>
    <col min="6" max="6" width="9.296875" style="58" customWidth="1"/>
    <col min="7" max="9" width="9.09765625" style="58" customWidth="1"/>
    <col min="10" max="16384" width="8.8984375" style="58"/>
  </cols>
  <sheetData>
    <row r="1" spans="2:10" s="46" customFormat="1" x14ac:dyDescent="0.25">
      <c r="E1" s="104"/>
      <c r="F1" s="104"/>
      <c r="G1" s="104"/>
      <c r="H1" s="104"/>
      <c r="I1" s="104"/>
      <c r="J1" s="104"/>
    </row>
    <row r="2" spans="2:10" s="46" customFormat="1" ht="15.75" customHeight="1" x14ac:dyDescent="0.25">
      <c r="E2" s="104"/>
      <c r="F2" s="104"/>
      <c r="G2" s="104"/>
      <c r="H2" s="104"/>
      <c r="I2" s="104"/>
      <c r="J2" s="104"/>
    </row>
    <row r="3" spans="2:10" s="46" customFormat="1" ht="15.75" customHeight="1" x14ac:dyDescent="0.25">
      <c r="E3" s="104"/>
      <c r="F3" s="104"/>
      <c r="G3" s="104"/>
      <c r="H3" s="104"/>
      <c r="I3" s="104"/>
      <c r="J3" s="104"/>
    </row>
    <row r="4" spans="2:10" s="46" customFormat="1" ht="15.75" customHeight="1" x14ac:dyDescent="0.25">
      <c r="E4" s="104"/>
      <c r="F4" s="104"/>
      <c r="G4" s="104"/>
      <c r="H4" s="104"/>
      <c r="I4" s="104"/>
      <c r="J4" s="104"/>
    </row>
    <row r="5" spans="2:10" s="46" customFormat="1" ht="15.75" customHeight="1" x14ac:dyDescent="0.25">
      <c r="E5" s="104"/>
      <c r="F5" s="104"/>
      <c r="G5" s="104"/>
      <c r="H5" s="104"/>
      <c r="I5" s="104"/>
      <c r="J5" s="104"/>
    </row>
    <row r="6" spans="2:10" s="46" customFormat="1" ht="15.75" customHeight="1" x14ac:dyDescent="0.25">
      <c r="E6" s="104"/>
      <c r="F6" s="104"/>
      <c r="G6" s="104"/>
      <c r="H6" s="104"/>
      <c r="I6" s="104"/>
      <c r="J6" s="104"/>
    </row>
    <row r="7" spans="2:10" s="46" customFormat="1" ht="19.5" customHeight="1" x14ac:dyDescent="0.25">
      <c r="I7" s="56"/>
    </row>
    <row r="9" spans="2:10" x14ac:dyDescent="0.25">
      <c r="B9" s="57" t="s">
        <v>517</v>
      </c>
      <c r="C9" s="57" t="s">
        <v>518</v>
      </c>
      <c r="D9" s="57" t="s">
        <v>519</v>
      </c>
      <c r="E9" s="57" t="s">
        <v>520</v>
      </c>
      <c r="F9" s="57" t="s">
        <v>521</v>
      </c>
      <c r="G9" s="57" t="s">
        <v>514</v>
      </c>
      <c r="H9" s="57" t="s">
        <v>515</v>
      </c>
      <c r="I9" s="57" t="s">
        <v>516</v>
      </c>
    </row>
    <row r="10" spans="2:10" x14ac:dyDescent="0.25">
      <c r="B10" s="59" t="s">
        <v>522</v>
      </c>
      <c r="C10" s="59" t="s">
        <v>523</v>
      </c>
      <c r="D10" s="60">
        <v>35341</v>
      </c>
      <c r="E10" s="59" t="s">
        <v>383</v>
      </c>
      <c r="F10" s="59" t="s">
        <v>384</v>
      </c>
      <c r="G10" s="61">
        <v>5623</v>
      </c>
      <c r="H10" s="61">
        <v>5769</v>
      </c>
      <c r="I10" s="62">
        <f t="shared" ref="I10:I41" si="0">SUM(G10:H10)</f>
        <v>11392</v>
      </c>
    </row>
    <row r="11" spans="2:10" x14ac:dyDescent="0.25">
      <c r="B11" s="63" t="s">
        <v>524</v>
      </c>
      <c r="C11" s="63" t="s">
        <v>525</v>
      </c>
      <c r="D11" s="64">
        <v>37512</v>
      </c>
      <c r="E11" s="63" t="s">
        <v>385</v>
      </c>
      <c r="F11" s="63" t="s">
        <v>384</v>
      </c>
      <c r="G11" s="65">
        <v>7342</v>
      </c>
      <c r="H11" s="65">
        <v>9033</v>
      </c>
      <c r="I11" s="66">
        <f t="shared" si="0"/>
        <v>16375</v>
      </c>
    </row>
    <row r="12" spans="2:10" x14ac:dyDescent="0.25">
      <c r="B12" s="63" t="s">
        <v>526</v>
      </c>
      <c r="C12" s="63" t="s">
        <v>527</v>
      </c>
      <c r="D12" s="64">
        <v>33091</v>
      </c>
      <c r="E12" s="63" t="s">
        <v>383</v>
      </c>
      <c r="F12" s="63" t="s">
        <v>386</v>
      </c>
      <c r="G12" s="65">
        <v>7505</v>
      </c>
      <c r="H12" s="65">
        <v>5100</v>
      </c>
      <c r="I12" s="66">
        <f t="shared" si="0"/>
        <v>12605</v>
      </c>
    </row>
    <row r="13" spans="2:10" x14ac:dyDescent="0.25">
      <c r="B13" s="63" t="s">
        <v>528</v>
      </c>
      <c r="C13" s="63" t="s">
        <v>529</v>
      </c>
      <c r="D13" s="64">
        <v>37097</v>
      </c>
      <c r="E13" s="63" t="s">
        <v>387</v>
      </c>
      <c r="F13" s="63" t="s">
        <v>384</v>
      </c>
      <c r="G13" s="65">
        <v>5793</v>
      </c>
      <c r="H13" s="65">
        <v>6955</v>
      </c>
      <c r="I13" s="66">
        <f t="shared" si="0"/>
        <v>12748</v>
      </c>
    </row>
    <row r="14" spans="2:10" x14ac:dyDescent="0.25">
      <c r="B14" s="63" t="s">
        <v>530</v>
      </c>
      <c r="C14" s="63" t="s">
        <v>531</v>
      </c>
      <c r="D14" s="64">
        <v>33427</v>
      </c>
      <c r="E14" s="63" t="s">
        <v>387</v>
      </c>
      <c r="F14" s="63" t="s">
        <v>388</v>
      </c>
      <c r="G14" s="65">
        <v>8679</v>
      </c>
      <c r="H14" s="65">
        <v>6185</v>
      </c>
      <c r="I14" s="66">
        <f t="shared" si="0"/>
        <v>14864</v>
      </c>
    </row>
    <row r="15" spans="2:10" x14ac:dyDescent="0.25">
      <c r="B15" s="63" t="s">
        <v>532</v>
      </c>
      <c r="C15" s="63" t="s">
        <v>533</v>
      </c>
      <c r="D15" s="64">
        <v>37363</v>
      </c>
      <c r="E15" s="63" t="s">
        <v>387</v>
      </c>
      <c r="F15" s="63" t="s">
        <v>384</v>
      </c>
      <c r="G15" s="65">
        <v>6750</v>
      </c>
      <c r="H15" s="65">
        <v>5626</v>
      </c>
      <c r="I15" s="66">
        <f t="shared" si="0"/>
        <v>12376</v>
      </c>
    </row>
    <row r="16" spans="2:10" x14ac:dyDescent="0.25">
      <c r="B16" s="63" t="s">
        <v>534</v>
      </c>
      <c r="C16" s="63" t="s">
        <v>535</v>
      </c>
      <c r="D16" s="64">
        <v>35510</v>
      </c>
      <c r="E16" s="63" t="s">
        <v>389</v>
      </c>
      <c r="F16" s="63" t="s">
        <v>386</v>
      </c>
      <c r="G16" s="65">
        <v>7091</v>
      </c>
      <c r="H16" s="65">
        <v>7507</v>
      </c>
      <c r="I16" s="66">
        <f t="shared" si="0"/>
        <v>14598</v>
      </c>
    </row>
    <row r="17" spans="2:9" x14ac:dyDescent="0.25">
      <c r="B17" s="63" t="s">
        <v>536</v>
      </c>
      <c r="C17" s="63" t="s">
        <v>537</v>
      </c>
      <c r="D17" s="64">
        <v>36696</v>
      </c>
      <c r="E17" s="63" t="s">
        <v>390</v>
      </c>
      <c r="F17" s="63" t="s">
        <v>388</v>
      </c>
      <c r="G17" s="65">
        <v>8916</v>
      </c>
      <c r="H17" s="65">
        <v>5246</v>
      </c>
      <c r="I17" s="66">
        <f t="shared" si="0"/>
        <v>14162</v>
      </c>
    </row>
    <row r="18" spans="2:9" x14ac:dyDescent="0.25">
      <c r="B18" s="63" t="s">
        <v>538</v>
      </c>
      <c r="C18" s="63" t="s">
        <v>539</v>
      </c>
      <c r="D18" s="64">
        <v>37422</v>
      </c>
      <c r="E18" s="63" t="s">
        <v>390</v>
      </c>
      <c r="F18" s="63" t="s">
        <v>388</v>
      </c>
      <c r="G18" s="65">
        <v>8735</v>
      </c>
      <c r="H18" s="65">
        <v>8034</v>
      </c>
      <c r="I18" s="66">
        <f t="shared" si="0"/>
        <v>16769</v>
      </c>
    </row>
    <row r="19" spans="2:9" x14ac:dyDescent="0.25">
      <c r="B19" s="63" t="s">
        <v>540</v>
      </c>
      <c r="C19" s="63" t="s">
        <v>541</v>
      </c>
      <c r="D19" s="64">
        <v>35641</v>
      </c>
      <c r="E19" s="63" t="s">
        <v>387</v>
      </c>
      <c r="F19" s="63" t="s">
        <v>391</v>
      </c>
      <c r="G19" s="65">
        <v>6402</v>
      </c>
      <c r="H19" s="65">
        <v>7978</v>
      </c>
      <c r="I19" s="66">
        <f t="shared" si="0"/>
        <v>14380</v>
      </c>
    </row>
    <row r="20" spans="2:9" x14ac:dyDescent="0.25">
      <c r="B20" s="63" t="s">
        <v>542</v>
      </c>
      <c r="C20" s="63" t="s">
        <v>543</v>
      </c>
      <c r="D20" s="64">
        <v>35946</v>
      </c>
      <c r="E20" s="63" t="s">
        <v>383</v>
      </c>
      <c r="F20" s="63" t="s">
        <v>392</v>
      </c>
      <c r="G20" s="65">
        <v>5918</v>
      </c>
      <c r="H20" s="65">
        <v>7197</v>
      </c>
      <c r="I20" s="66">
        <f t="shared" si="0"/>
        <v>13115</v>
      </c>
    </row>
    <row r="21" spans="2:9" x14ac:dyDescent="0.25">
      <c r="B21" s="63" t="s">
        <v>544</v>
      </c>
      <c r="C21" s="63" t="s">
        <v>545</v>
      </c>
      <c r="D21" s="64">
        <v>34542</v>
      </c>
      <c r="E21" s="63" t="s">
        <v>389</v>
      </c>
      <c r="F21" s="63" t="s">
        <v>386</v>
      </c>
      <c r="G21" s="65">
        <v>5848</v>
      </c>
      <c r="H21" s="65">
        <v>7821</v>
      </c>
      <c r="I21" s="66">
        <f t="shared" si="0"/>
        <v>13669</v>
      </c>
    </row>
    <row r="22" spans="2:9" x14ac:dyDescent="0.25">
      <c r="B22" s="63" t="s">
        <v>546</v>
      </c>
      <c r="C22" s="63" t="s">
        <v>547</v>
      </c>
      <c r="D22" s="64">
        <v>34162</v>
      </c>
      <c r="E22" s="63" t="s">
        <v>390</v>
      </c>
      <c r="F22" s="63" t="s">
        <v>386</v>
      </c>
      <c r="G22" s="65">
        <v>9931</v>
      </c>
      <c r="H22" s="65">
        <v>9625</v>
      </c>
      <c r="I22" s="66">
        <f t="shared" si="0"/>
        <v>19556</v>
      </c>
    </row>
    <row r="23" spans="2:9" x14ac:dyDescent="0.25">
      <c r="B23" s="63" t="s">
        <v>548</v>
      </c>
      <c r="C23" s="63" t="s">
        <v>549</v>
      </c>
      <c r="D23" s="64">
        <v>36209</v>
      </c>
      <c r="E23" s="63" t="s">
        <v>387</v>
      </c>
      <c r="F23" s="63" t="s">
        <v>391</v>
      </c>
      <c r="G23" s="65">
        <v>7520</v>
      </c>
      <c r="H23" s="65">
        <v>6827</v>
      </c>
      <c r="I23" s="66">
        <f t="shared" si="0"/>
        <v>14347</v>
      </c>
    </row>
    <row r="24" spans="2:9" x14ac:dyDescent="0.25">
      <c r="B24" s="63" t="s">
        <v>550</v>
      </c>
      <c r="C24" s="63" t="s">
        <v>551</v>
      </c>
      <c r="D24" s="64">
        <v>33946</v>
      </c>
      <c r="E24" s="63" t="s">
        <v>389</v>
      </c>
      <c r="F24" s="63" t="s">
        <v>388</v>
      </c>
      <c r="G24" s="65">
        <v>9809</v>
      </c>
      <c r="H24" s="65">
        <v>5623</v>
      </c>
      <c r="I24" s="66">
        <f t="shared" si="0"/>
        <v>15432</v>
      </c>
    </row>
    <row r="25" spans="2:9" x14ac:dyDescent="0.25">
      <c r="B25" s="63" t="s">
        <v>552</v>
      </c>
      <c r="C25" s="63" t="s">
        <v>553</v>
      </c>
      <c r="D25" s="64">
        <v>35934</v>
      </c>
      <c r="E25" s="63" t="s">
        <v>385</v>
      </c>
      <c r="F25" s="63" t="s">
        <v>392</v>
      </c>
      <c r="G25" s="65">
        <v>9518</v>
      </c>
      <c r="H25" s="65">
        <v>6990</v>
      </c>
      <c r="I25" s="66">
        <f t="shared" si="0"/>
        <v>16508</v>
      </c>
    </row>
    <row r="26" spans="2:9" x14ac:dyDescent="0.25">
      <c r="B26" s="63" t="s">
        <v>554</v>
      </c>
      <c r="C26" s="63" t="s">
        <v>555</v>
      </c>
      <c r="D26" s="64">
        <v>34862</v>
      </c>
      <c r="E26" s="63" t="s">
        <v>390</v>
      </c>
      <c r="F26" s="63" t="s">
        <v>388</v>
      </c>
      <c r="G26" s="65">
        <v>6553</v>
      </c>
      <c r="H26" s="65">
        <v>5493</v>
      </c>
      <c r="I26" s="66">
        <f t="shared" si="0"/>
        <v>12046</v>
      </c>
    </row>
    <row r="27" spans="2:9" x14ac:dyDescent="0.25">
      <c r="B27" s="63" t="s">
        <v>556</v>
      </c>
      <c r="C27" s="63" t="s">
        <v>557</v>
      </c>
      <c r="D27" s="64">
        <v>34331</v>
      </c>
      <c r="E27" s="63" t="s">
        <v>385</v>
      </c>
      <c r="F27" s="63" t="s">
        <v>384</v>
      </c>
      <c r="G27" s="65">
        <v>9036</v>
      </c>
      <c r="H27" s="65">
        <v>9593</v>
      </c>
      <c r="I27" s="66">
        <f t="shared" si="0"/>
        <v>18629</v>
      </c>
    </row>
    <row r="28" spans="2:9" x14ac:dyDescent="0.25">
      <c r="B28" s="63" t="s">
        <v>558</v>
      </c>
      <c r="C28" s="63" t="s">
        <v>559</v>
      </c>
      <c r="D28" s="64">
        <v>37185</v>
      </c>
      <c r="E28" s="63" t="s">
        <v>383</v>
      </c>
      <c r="F28" s="63" t="s">
        <v>386</v>
      </c>
      <c r="G28" s="65">
        <v>9332</v>
      </c>
      <c r="H28" s="65">
        <v>7818</v>
      </c>
      <c r="I28" s="66">
        <f t="shared" si="0"/>
        <v>17150</v>
      </c>
    </row>
    <row r="29" spans="2:9" x14ac:dyDescent="0.25">
      <c r="B29" s="63" t="s">
        <v>560</v>
      </c>
      <c r="C29" s="63" t="s">
        <v>561</v>
      </c>
      <c r="D29" s="64">
        <v>36959</v>
      </c>
      <c r="E29" s="63" t="s">
        <v>389</v>
      </c>
      <c r="F29" s="63" t="s">
        <v>392</v>
      </c>
      <c r="G29" s="65">
        <v>6602</v>
      </c>
      <c r="H29" s="65">
        <v>6308</v>
      </c>
      <c r="I29" s="66">
        <f t="shared" si="0"/>
        <v>12910</v>
      </c>
    </row>
    <row r="30" spans="2:9" x14ac:dyDescent="0.25">
      <c r="B30" s="63" t="s">
        <v>562</v>
      </c>
      <c r="C30" s="63" t="s">
        <v>563</v>
      </c>
      <c r="D30" s="64">
        <v>36970</v>
      </c>
      <c r="E30" s="63" t="s">
        <v>387</v>
      </c>
      <c r="F30" s="63" t="s">
        <v>391</v>
      </c>
      <c r="G30" s="65">
        <v>6079</v>
      </c>
      <c r="H30" s="65">
        <v>9518</v>
      </c>
      <c r="I30" s="66">
        <f t="shared" si="0"/>
        <v>15597</v>
      </c>
    </row>
    <row r="31" spans="2:9" x14ac:dyDescent="0.25">
      <c r="B31" s="63" t="s">
        <v>564</v>
      </c>
      <c r="C31" s="63" t="s">
        <v>565</v>
      </c>
      <c r="D31" s="64">
        <v>36531</v>
      </c>
      <c r="E31" s="63" t="s">
        <v>385</v>
      </c>
      <c r="F31" s="63" t="s">
        <v>384</v>
      </c>
      <c r="G31" s="65">
        <v>7602</v>
      </c>
      <c r="H31" s="65">
        <v>7587</v>
      </c>
      <c r="I31" s="66">
        <f t="shared" si="0"/>
        <v>15189</v>
      </c>
    </row>
    <row r="32" spans="2:9" x14ac:dyDescent="0.25">
      <c r="B32" s="63" t="s">
        <v>566</v>
      </c>
      <c r="C32" s="63" t="s">
        <v>567</v>
      </c>
      <c r="D32" s="64">
        <v>33781</v>
      </c>
      <c r="E32" s="63" t="s">
        <v>387</v>
      </c>
      <c r="F32" s="63" t="s">
        <v>392</v>
      </c>
      <c r="G32" s="65">
        <v>5166</v>
      </c>
      <c r="H32" s="65">
        <v>5781</v>
      </c>
      <c r="I32" s="66">
        <f t="shared" si="0"/>
        <v>10947</v>
      </c>
    </row>
    <row r="33" spans="2:9" x14ac:dyDescent="0.25">
      <c r="B33" s="63" t="s">
        <v>568</v>
      </c>
      <c r="C33" s="63" t="s">
        <v>569</v>
      </c>
      <c r="D33" s="64">
        <v>36344</v>
      </c>
      <c r="E33" s="63" t="s">
        <v>387</v>
      </c>
      <c r="F33" s="63" t="s">
        <v>392</v>
      </c>
      <c r="G33" s="65">
        <v>9962</v>
      </c>
      <c r="H33" s="65">
        <v>5730</v>
      </c>
      <c r="I33" s="66">
        <f t="shared" si="0"/>
        <v>15692</v>
      </c>
    </row>
    <row r="34" spans="2:9" x14ac:dyDescent="0.25">
      <c r="B34" s="63" t="s">
        <v>570</v>
      </c>
      <c r="C34" s="63" t="s">
        <v>571</v>
      </c>
      <c r="D34" s="64">
        <v>34036</v>
      </c>
      <c r="E34" s="63" t="s">
        <v>387</v>
      </c>
      <c r="F34" s="63" t="s">
        <v>384</v>
      </c>
      <c r="G34" s="65">
        <v>5613</v>
      </c>
      <c r="H34" s="65">
        <v>6021</v>
      </c>
      <c r="I34" s="66">
        <f t="shared" si="0"/>
        <v>11634</v>
      </c>
    </row>
    <row r="35" spans="2:9" x14ac:dyDescent="0.25">
      <c r="B35" s="63" t="s">
        <v>572</v>
      </c>
      <c r="C35" s="63" t="s">
        <v>573</v>
      </c>
      <c r="D35" s="64">
        <v>37473</v>
      </c>
      <c r="E35" s="63" t="s">
        <v>574</v>
      </c>
      <c r="F35" s="63" t="s">
        <v>575</v>
      </c>
      <c r="G35" s="65">
        <v>9125</v>
      </c>
      <c r="H35" s="65">
        <v>6964</v>
      </c>
      <c r="I35" s="66">
        <f t="shared" si="0"/>
        <v>16089</v>
      </c>
    </row>
    <row r="36" spans="2:9" x14ac:dyDescent="0.25">
      <c r="B36" s="63" t="s">
        <v>576</v>
      </c>
      <c r="C36" s="63" t="s">
        <v>577</v>
      </c>
      <c r="D36" s="64">
        <v>33696</v>
      </c>
      <c r="E36" s="63" t="s">
        <v>578</v>
      </c>
      <c r="F36" s="63" t="s">
        <v>579</v>
      </c>
      <c r="G36" s="65">
        <v>9183</v>
      </c>
      <c r="H36" s="65">
        <v>8362</v>
      </c>
      <c r="I36" s="66">
        <f t="shared" si="0"/>
        <v>17545</v>
      </c>
    </row>
    <row r="37" spans="2:9" x14ac:dyDescent="0.25">
      <c r="B37" s="63" t="s">
        <v>580</v>
      </c>
      <c r="C37" s="63" t="s">
        <v>581</v>
      </c>
      <c r="D37" s="64">
        <v>35722</v>
      </c>
      <c r="E37" s="63" t="s">
        <v>578</v>
      </c>
      <c r="F37" s="63" t="s">
        <v>582</v>
      </c>
      <c r="G37" s="65">
        <v>5746</v>
      </c>
      <c r="H37" s="65">
        <v>9571</v>
      </c>
      <c r="I37" s="66">
        <f t="shared" si="0"/>
        <v>15317</v>
      </c>
    </row>
    <row r="38" spans="2:9" x14ac:dyDescent="0.25">
      <c r="B38" s="63" t="s">
        <v>583</v>
      </c>
      <c r="C38" s="63" t="s">
        <v>584</v>
      </c>
      <c r="D38" s="64">
        <v>33038</v>
      </c>
      <c r="E38" s="63" t="s">
        <v>585</v>
      </c>
      <c r="F38" s="63" t="s">
        <v>575</v>
      </c>
      <c r="G38" s="65">
        <v>5398</v>
      </c>
      <c r="H38" s="65">
        <v>7053</v>
      </c>
      <c r="I38" s="66">
        <f t="shared" si="0"/>
        <v>12451</v>
      </c>
    </row>
    <row r="39" spans="2:9" x14ac:dyDescent="0.25">
      <c r="B39" s="63" t="s">
        <v>586</v>
      </c>
      <c r="C39" s="63" t="s">
        <v>587</v>
      </c>
      <c r="D39" s="64">
        <v>35596</v>
      </c>
      <c r="E39" s="63" t="s">
        <v>588</v>
      </c>
      <c r="F39" s="63" t="s">
        <v>575</v>
      </c>
      <c r="G39" s="65">
        <v>7810</v>
      </c>
      <c r="H39" s="65">
        <v>5850</v>
      </c>
      <c r="I39" s="66">
        <f t="shared" si="0"/>
        <v>13660</v>
      </c>
    </row>
    <row r="40" spans="2:9" x14ac:dyDescent="0.25">
      <c r="B40" s="63" t="s">
        <v>589</v>
      </c>
      <c r="C40" s="63" t="s">
        <v>590</v>
      </c>
      <c r="D40" s="64">
        <v>33022</v>
      </c>
      <c r="E40" s="63" t="s">
        <v>591</v>
      </c>
      <c r="F40" s="63" t="s">
        <v>575</v>
      </c>
      <c r="G40" s="65">
        <v>7798</v>
      </c>
      <c r="H40" s="65">
        <v>8233</v>
      </c>
      <c r="I40" s="66">
        <f t="shared" si="0"/>
        <v>16031</v>
      </c>
    </row>
    <row r="41" spans="2:9" x14ac:dyDescent="0.25">
      <c r="B41" s="63" t="s">
        <v>592</v>
      </c>
      <c r="C41" s="63" t="s">
        <v>593</v>
      </c>
      <c r="D41" s="64">
        <v>33043</v>
      </c>
      <c r="E41" s="63" t="s">
        <v>588</v>
      </c>
      <c r="F41" s="63" t="s">
        <v>579</v>
      </c>
      <c r="G41" s="65">
        <v>8465</v>
      </c>
      <c r="H41" s="65">
        <v>6612</v>
      </c>
      <c r="I41" s="66">
        <f t="shared" si="0"/>
        <v>15077</v>
      </c>
    </row>
    <row r="42" spans="2:9" x14ac:dyDescent="0.25">
      <c r="B42" s="63" t="s">
        <v>594</v>
      </c>
      <c r="C42" s="63" t="s">
        <v>595</v>
      </c>
      <c r="D42" s="64">
        <v>36377</v>
      </c>
      <c r="E42" s="63" t="s">
        <v>588</v>
      </c>
      <c r="F42" s="63" t="s">
        <v>596</v>
      </c>
      <c r="G42" s="65">
        <v>7812</v>
      </c>
      <c r="H42" s="65">
        <v>7314</v>
      </c>
      <c r="I42" s="66">
        <f t="shared" ref="I42:I59" si="1">SUM(G42:H42)</f>
        <v>15126</v>
      </c>
    </row>
    <row r="43" spans="2:9" x14ac:dyDescent="0.25">
      <c r="B43" s="63" t="s">
        <v>597</v>
      </c>
      <c r="C43" s="63" t="s">
        <v>598</v>
      </c>
      <c r="D43" s="64">
        <v>35802</v>
      </c>
      <c r="E43" s="63" t="s">
        <v>578</v>
      </c>
      <c r="F43" s="63" t="s">
        <v>599</v>
      </c>
      <c r="G43" s="65">
        <v>9559</v>
      </c>
      <c r="H43" s="65">
        <v>7425</v>
      </c>
      <c r="I43" s="66">
        <f t="shared" si="1"/>
        <v>16984</v>
      </c>
    </row>
    <row r="44" spans="2:9" x14ac:dyDescent="0.25">
      <c r="B44" s="63" t="s">
        <v>600</v>
      </c>
      <c r="C44" s="63" t="s">
        <v>601</v>
      </c>
      <c r="D44" s="64">
        <v>34815</v>
      </c>
      <c r="E44" s="63" t="s">
        <v>585</v>
      </c>
      <c r="F44" s="63" t="s">
        <v>582</v>
      </c>
      <c r="G44" s="65">
        <v>9311</v>
      </c>
      <c r="H44" s="65">
        <v>7915</v>
      </c>
      <c r="I44" s="66">
        <f t="shared" si="1"/>
        <v>17226</v>
      </c>
    </row>
    <row r="45" spans="2:9" x14ac:dyDescent="0.25">
      <c r="B45" s="63" t="s">
        <v>602</v>
      </c>
      <c r="C45" s="63" t="s">
        <v>603</v>
      </c>
      <c r="D45" s="64">
        <v>36832</v>
      </c>
      <c r="E45" s="63" t="s">
        <v>585</v>
      </c>
      <c r="F45" s="63" t="s">
        <v>575</v>
      </c>
      <c r="G45" s="65">
        <v>8006</v>
      </c>
      <c r="H45" s="65">
        <v>5591</v>
      </c>
      <c r="I45" s="66">
        <f t="shared" si="1"/>
        <v>13597</v>
      </c>
    </row>
    <row r="46" spans="2:9" x14ac:dyDescent="0.25">
      <c r="B46" s="63" t="s">
        <v>604</v>
      </c>
      <c r="C46" s="63" t="s">
        <v>605</v>
      </c>
      <c r="D46" s="64">
        <v>33244</v>
      </c>
      <c r="E46" s="63" t="s">
        <v>578</v>
      </c>
      <c r="F46" s="63" t="s">
        <v>599</v>
      </c>
      <c r="G46" s="65">
        <v>7314</v>
      </c>
      <c r="H46" s="65">
        <v>7334</v>
      </c>
      <c r="I46" s="66">
        <f t="shared" si="1"/>
        <v>14648</v>
      </c>
    </row>
    <row r="47" spans="2:9" x14ac:dyDescent="0.25">
      <c r="B47" s="63" t="s">
        <v>606</v>
      </c>
      <c r="C47" s="63" t="s">
        <v>607</v>
      </c>
      <c r="D47" s="64">
        <v>35158</v>
      </c>
      <c r="E47" s="63" t="s">
        <v>588</v>
      </c>
      <c r="F47" s="63" t="s">
        <v>579</v>
      </c>
      <c r="G47" s="65">
        <v>8675</v>
      </c>
      <c r="H47" s="65">
        <v>6686</v>
      </c>
      <c r="I47" s="66">
        <f t="shared" si="1"/>
        <v>15361</v>
      </c>
    </row>
    <row r="48" spans="2:9" x14ac:dyDescent="0.25">
      <c r="B48" s="63" t="s">
        <v>608</v>
      </c>
      <c r="C48" s="63" t="s">
        <v>609</v>
      </c>
      <c r="D48" s="64">
        <v>35261</v>
      </c>
      <c r="E48" s="63" t="s">
        <v>591</v>
      </c>
      <c r="F48" s="63" t="s">
        <v>575</v>
      </c>
      <c r="G48" s="65">
        <v>8894</v>
      </c>
      <c r="H48" s="65">
        <v>7920</v>
      </c>
      <c r="I48" s="66">
        <f t="shared" si="1"/>
        <v>16814</v>
      </c>
    </row>
    <row r="49" spans="2:9" x14ac:dyDescent="0.25">
      <c r="B49" s="63" t="s">
        <v>610</v>
      </c>
      <c r="C49" s="63" t="s">
        <v>611</v>
      </c>
      <c r="D49" s="64">
        <v>34684</v>
      </c>
      <c r="E49" s="63" t="s">
        <v>574</v>
      </c>
      <c r="F49" s="63" t="s">
        <v>575</v>
      </c>
      <c r="G49" s="65">
        <v>5089</v>
      </c>
      <c r="H49" s="65">
        <v>9433</v>
      </c>
      <c r="I49" s="66">
        <f t="shared" si="1"/>
        <v>14522</v>
      </c>
    </row>
    <row r="50" spans="2:9" x14ac:dyDescent="0.25">
      <c r="B50" s="63" t="s">
        <v>612</v>
      </c>
      <c r="C50" s="63" t="s">
        <v>613</v>
      </c>
      <c r="D50" s="64">
        <v>35777</v>
      </c>
      <c r="E50" s="63" t="s">
        <v>591</v>
      </c>
      <c r="F50" s="63" t="s">
        <v>575</v>
      </c>
      <c r="G50" s="65">
        <v>6031</v>
      </c>
      <c r="H50" s="65">
        <v>5479</v>
      </c>
      <c r="I50" s="66">
        <f t="shared" si="1"/>
        <v>11510</v>
      </c>
    </row>
    <row r="51" spans="2:9" x14ac:dyDescent="0.25">
      <c r="B51" s="63" t="s">
        <v>614</v>
      </c>
      <c r="C51" s="63" t="s">
        <v>615</v>
      </c>
      <c r="D51" s="64">
        <v>36193</v>
      </c>
      <c r="E51" s="63" t="s">
        <v>588</v>
      </c>
      <c r="F51" s="63" t="s">
        <v>582</v>
      </c>
      <c r="G51" s="65">
        <v>8349</v>
      </c>
      <c r="H51" s="65">
        <v>6852</v>
      </c>
      <c r="I51" s="66">
        <f t="shared" si="1"/>
        <v>15201</v>
      </c>
    </row>
    <row r="52" spans="2:9" x14ac:dyDescent="0.25">
      <c r="B52" s="63" t="s">
        <v>616</v>
      </c>
      <c r="C52" s="63" t="s">
        <v>617</v>
      </c>
      <c r="D52" s="64">
        <v>36761</v>
      </c>
      <c r="E52" s="63" t="s">
        <v>578</v>
      </c>
      <c r="F52" s="63" t="s">
        <v>582</v>
      </c>
      <c r="G52" s="65">
        <v>9128</v>
      </c>
      <c r="H52" s="65">
        <v>9363</v>
      </c>
      <c r="I52" s="66">
        <f t="shared" si="1"/>
        <v>18491</v>
      </c>
    </row>
    <row r="53" spans="2:9" x14ac:dyDescent="0.25">
      <c r="B53" s="63" t="s">
        <v>618</v>
      </c>
      <c r="C53" s="63" t="s">
        <v>619</v>
      </c>
      <c r="D53" s="64">
        <v>36046</v>
      </c>
      <c r="E53" s="63" t="s">
        <v>585</v>
      </c>
      <c r="F53" s="63" t="s">
        <v>575</v>
      </c>
      <c r="G53" s="65">
        <v>8059</v>
      </c>
      <c r="H53" s="65">
        <v>6717</v>
      </c>
      <c r="I53" s="66">
        <f t="shared" si="1"/>
        <v>14776</v>
      </c>
    </row>
    <row r="54" spans="2:9" x14ac:dyDescent="0.25">
      <c r="B54" s="63" t="s">
        <v>620</v>
      </c>
      <c r="C54" s="63" t="s">
        <v>621</v>
      </c>
      <c r="D54" s="64">
        <v>32978</v>
      </c>
      <c r="E54" s="63" t="s">
        <v>585</v>
      </c>
      <c r="F54" s="63" t="s">
        <v>575</v>
      </c>
      <c r="G54" s="65">
        <v>9912</v>
      </c>
      <c r="H54" s="65">
        <v>9751</v>
      </c>
      <c r="I54" s="66">
        <f t="shared" si="1"/>
        <v>19663</v>
      </c>
    </row>
    <row r="55" spans="2:9" x14ac:dyDescent="0.25">
      <c r="B55" s="63" t="s">
        <v>622</v>
      </c>
      <c r="C55" s="63" t="s">
        <v>623</v>
      </c>
      <c r="D55" s="64">
        <v>37076</v>
      </c>
      <c r="E55" s="63" t="s">
        <v>578</v>
      </c>
      <c r="F55" s="63" t="s">
        <v>579</v>
      </c>
      <c r="G55" s="65">
        <v>6951</v>
      </c>
      <c r="H55" s="65">
        <v>6513</v>
      </c>
      <c r="I55" s="66">
        <f t="shared" si="1"/>
        <v>13464</v>
      </c>
    </row>
    <row r="56" spans="2:9" x14ac:dyDescent="0.25">
      <c r="B56" s="63" t="s">
        <v>624</v>
      </c>
      <c r="C56" s="63" t="s">
        <v>625</v>
      </c>
      <c r="D56" s="64">
        <v>36211</v>
      </c>
      <c r="E56" s="63" t="s">
        <v>588</v>
      </c>
      <c r="F56" s="63" t="s">
        <v>599</v>
      </c>
      <c r="G56" s="65">
        <v>5440</v>
      </c>
      <c r="H56" s="65">
        <v>9905</v>
      </c>
      <c r="I56" s="66">
        <f t="shared" si="1"/>
        <v>15345</v>
      </c>
    </row>
    <row r="57" spans="2:9" x14ac:dyDescent="0.25">
      <c r="B57" s="63" t="s">
        <v>626</v>
      </c>
      <c r="C57" s="63" t="s">
        <v>627</v>
      </c>
      <c r="D57" s="64">
        <v>36304</v>
      </c>
      <c r="E57" s="63" t="s">
        <v>591</v>
      </c>
      <c r="F57" s="63" t="s">
        <v>596</v>
      </c>
      <c r="G57" s="65">
        <v>5930</v>
      </c>
      <c r="H57" s="65">
        <v>8247</v>
      </c>
      <c r="I57" s="66">
        <f t="shared" si="1"/>
        <v>14177</v>
      </c>
    </row>
    <row r="58" spans="2:9" x14ac:dyDescent="0.25">
      <c r="B58" s="63" t="s">
        <v>628</v>
      </c>
      <c r="C58" s="63" t="s">
        <v>629</v>
      </c>
      <c r="D58" s="64">
        <v>35907</v>
      </c>
      <c r="E58" s="63" t="s">
        <v>574</v>
      </c>
      <c r="F58" s="63" t="s">
        <v>582</v>
      </c>
      <c r="G58" s="65">
        <v>5317</v>
      </c>
      <c r="H58" s="65">
        <v>7704</v>
      </c>
      <c r="I58" s="66">
        <f t="shared" si="1"/>
        <v>13021</v>
      </c>
    </row>
    <row r="59" spans="2:9" x14ac:dyDescent="0.25">
      <c r="B59" s="67" t="s">
        <v>630</v>
      </c>
      <c r="C59" s="67" t="s">
        <v>631</v>
      </c>
      <c r="D59" s="68">
        <v>33657</v>
      </c>
      <c r="E59" s="67" t="s">
        <v>591</v>
      </c>
      <c r="F59" s="67" t="s">
        <v>575</v>
      </c>
      <c r="G59" s="69">
        <v>9383</v>
      </c>
      <c r="H59" s="69">
        <v>6308</v>
      </c>
      <c r="I59" s="70">
        <f t="shared" si="1"/>
        <v>15691</v>
      </c>
    </row>
  </sheetData>
  <phoneticPr fontId="4" type="noConversion"/>
  <pageMargins left="0.75" right="0.75" top="1" bottom="1" header="0.5" footer="0.5"/>
  <pageSetup paperSize="9" orientation="portrait" horizontalDpi="300" verticalDpi="0" r:id="rId1"/>
  <headerFooter alignWithMargins="0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J73"/>
  <sheetViews>
    <sheetView zoomScale="55" zoomScaleNormal="55" workbookViewId="0">
      <selection activeCell="I43" sqref="I43"/>
    </sheetView>
  </sheetViews>
  <sheetFormatPr defaultRowHeight="14.4" x14ac:dyDescent="0.25"/>
  <cols>
    <col min="1" max="6" width="13.5" customWidth="1"/>
  </cols>
  <sheetData>
    <row r="1" spans="1:10" ht="52.5" customHeight="1" x14ac:dyDescent="0.25">
      <c r="A1" s="152" t="s">
        <v>646</v>
      </c>
      <c r="B1" s="153"/>
      <c r="C1" s="153"/>
      <c r="D1" s="153"/>
      <c r="E1" s="153"/>
      <c r="F1" s="153"/>
    </row>
    <row r="2" spans="1:10" ht="16.8" x14ac:dyDescent="0.25">
      <c r="A2" s="97" t="s">
        <v>647</v>
      </c>
      <c r="B2" s="98" t="s">
        <v>648</v>
      </c>
      <c r="C2" s="98" t="s">
        <v>649</v>
      </c>
      <c r="D2" s="99" t="s">
        <v>650</v>
      </c>
      <c r="E2" s="99" t="s">
        <v>651</v>
      </c>
      <c r="F2" s="99" t="s">
        <v>652</v>
      </c>
    </row>
    <row r="3" spans="1:10" ht="16.8" x14ac:dyDescent="0.25">
      <c r="A3" s="100">
        <v>36892</v>
      </c>
      <c r="B3" s="101" t="s">
        <v>653</v>
      </c>
      <c r="C3" s="102" t="s">
        <v>654</v>
      </c>
      <c r="D3" s="103">
        <v>985</v>
      </c>
      <c r="E3" s="103">
        <v>1299</v>
      </c>
      <c r="F3" s="103">
        <f t="shared" ref="F3:F34" si="0">D3*E3</f>
        <v>1279515</v>
      </c>
    </row>
    <row r="4" spans="1:10" ht="16.8" x14ac:dyDescent="0.25">
      <c r="A4" s="100">
        <v>36896</v>
      </c>
      <c r="B4" s="101" t="s">
        <v>655</v>
      </c>
      <c r="C4" s="102" t="s">
        <v>656</v>
      </c>
      <c r="D4" s="103">
        <v>1154</v>
      </c>
      <c r="E4" s="103">
        <v>709</v>
      </c>
      <c r="F4" s="103">
        <f t="shared" si="0"/>
        <v>818186</v>
      </c>
      <c r="I4" s="99" t="s">
        <v>651</v>
      </c>
      <c r="J4" s="99" t="s">
        <v>652</v>
      </c>
    </row>
    <row r="5" spans="1:10" ht="16.8" x14ac:dyDescent="0.25">
      <c r="A5" s="100">
        <v>36899</v>
      </c>
      <c r="B5" s="101" t="s">
        <v>657</v>
      </c>
      <c r="C5" s="102" t="s">
        <v>658</v>
      </c>
      <c r="D5" s="103">
        <v>1231</v>
      </c>
      <c r="E5" s="103">
        <v>655</v>
      </c>
      <c r="F5" s="103">
        <f t="shared" si="0"/>
        <v>806305</v>
      </c>
      <c r="I5" s="103">
        <v>1299</v>
      </c>
      <c r="J5" s="103"/>
    </row>
    <row r="6" spans="1:10" ht="16.8" x14ac:dyDescent="0.25">
      <c r="A6" s="100">
        <v>36903</v>
      </c>
      <c r="B6" s="101" t="s">
        <v>659</v>
      </c>
      <c r="C6" s="102" t="s">
        <v>660</v>
      </c>
      <c r="D6" s="103">
        <v>1231</v>
      </c>
      <c r="E6" s="103">
        <v>645</v>
      </c>
      <c r="F6" s="103">
        <f t="shared" si="0"/>
        <v>793995</v>
      </c>
    </row>
    <row r="7" spans="1:10" ht="16.8" x14ac:dyDescent="0.25">
      <c r="A7" s="100">
        <v>36907</v>
      </c>
      <c r="B7" s="101" t="s">
        <v>661</v>
      </c>
      <c r="C7" s="102" t="s">
        <v>654</v>
      </c>
      <c r="D7" s="103">
        <v>987</v>
      </c>
      <c r="E7" s="103">
        <v>1299</v>
      </c>
      <c r="F7" s="103">
        <f t="shared" si="0"/>
        <v>1282113</v>
      </c>
    </row>
    <row r="8" spans="1:10" ht="16.8" x14ac:dyDescent="0.25">
      <c r="A8" s="100">
        <v>36911</v>
      </c>
      <c r="B8" s="101" t="s">
        <v>662</v>
      </c>
      <c r="C8" s="102" t="s">
        <v>654</v>
      </c>
      <c r="D8" s="103">
        <v>2532</v>
      </c>
      <c r="E8" s="103">
        <v>1299</v>
      </c>
      <c r="F8" s="103">
        <f t="shared" si="0"/>
        <v>3289068</v>
      </c>
    </row>
    <row r="9" spans="1:10" ht="16.8" x14ac:dyDescent="0.25">
      <c r="A9" s="100">
        <v>36915</v>
      </c>
      <c r="B9" s="101" t="s">
        <v>659</v>
      </c>
      <c r="C9" s="102" t="s">
        <v>654</v>
      </c>
      <c r="D9" s="103">
        <v>987</v>
      </c>
      <c r="E9" s="103">
        <v>1299</v>
      </c>
      <c r="F9" s="103">
        <f t="shared" si="0"/>
        <v>1282113</v>
      </c>
    </row>
    <row r="10" spans="1:10" ht="16.8" x14ac:dyDescent="0.25">
      <c r="A10" s="100">
        <v>36918</v>
      </c>
      <c r="B10" s="101" t="s">
        <v>662</v>
      </c>
      <c r="C10" s="102" t="s">
        <v>658</v>
      </c>
      <c r="D10" s="103">
        <v>3769</v>
      </c>
      <c r="E10" s="103">
        <v>655</v>
      </c>
      <c r="F10" s="103">
        <f t="shared" si="0"/>
        <v>2468695</v>
      </c>
    </row>
    <row r="11" spans="1:10" ht="16.8" x14ac:dyDescent="0.25">
      <c r="A11" s="100">
        <v>36921</v>
      </c>
      <c r="B11" s="101" t="s">
        <v>657</v>
      </c>
      <c r="C11" s="102" t="s">
        <v>660</v>
      </c>
      <c r="D11" s="103">
        <v>6154</v>
      </c>
      <c r="E11" s="103">
        <v>645</v>
      </c>
      <c r="F11" s="103">
        <f t="shared" si="0"/>
        <v>3969330</v>
      </c>
    </row>
    <row r="12" spans="1:10" ht="16.8" x14ac:dyDescent="0.25">
      <c r="A12" s="100">
        <v>36923</v>
      </c>
      <c r="B12" s="101" t="s">
        <v>655</v>
      </c>
      <c r="C12" s="102" t="s">
        <v>656</v>
      </c>
      <c r="D12" s="103">
        <v>385</v>
      </c>
      <c r="E12" s="103">
        <v>709</v>
      </c>
      <c r="F12" s="103">
        <f t="shared" si="0"/>
        <v>272965</v>
      </c>
    </row>
    <row r="13" spans="1:10" ht="16.8" x14ac:dyDescent="0.25">
      <c r="A13" s="100">
        <v>36927</v>
      </c>
      <c r="B13" s="101" t="s">
        <v>653</v>
      </c>
      <c r="C13" s="102" t="s">
        <v>656</v>
      </c>
      <c r="D13" s="103">
        <v>1598</v>
      </c>
      <c r="E13" s="103">
        <v>709</v>
      </c>
      <c r="F13" s="103">
        <f t="shared" si="0"/>
        <v>1132982</v>
      </c>
    </row>
    <row r="14" spans="1:10" ht="16.8" x14ac:dyDescent="0.25">
      <c r="A14" s="100">
        <v>36930</v>
      </c>
      <c r="B14" s="101" t="s">
        <v>655</v>
      </c>
      <c r="C14" s="102" t="s">
        <v>660</v>
      </c>
      <c r="D14" s="103">
        <v>1538</v>
      </c>
      <c r="E14" s="103">
        <v>645</v>
      </c>
      <c r="F14" s="103">
        <f t="shared" si="0"/>
        <v>992010</v>
      </c>
    </row>
    <row r="15" spans="1:10" ht="16.8" x14ac:dyDescent="0.25">
      <c r="A15" s="100">
        <v>36934</v>
      </c>
      <c r="B15" s="101" t="s">
        <v>659</v>
      </c>
      <c r="C15" s="102" t="s">
        <v>658</v>
      </c>
      <c r="D15" s="103">
        <v>1231</v>
      </c>
      <c r="E15" s="103">
        <v>655</v>
      </c>
      <c r="F15" s="103">
        <f t="shared" si="0"/>
        <v>806305</v>
      </c>
    </row>
    <row r="16" spans="1:10" ht="16.8" x14ac:dyDescent="0.25">
      <c r="A16" s="100">
        <v>36938</v>
      </c>
      <c r="B16" s="101" t="s">
        <v>661</v>
      </c>
      <c r="C16" s="102" t="s">
        <v>656</v>
      </c>
      <c r="D16" s="103">
        <v>4846</v>
      </c>
      <c r="E16" s="103">
        <v>709</v>
      </c>
      <c r="F16" s="103">
        <f t="shared" si="0"/>
        <v>3435814</v>
      </c>
    </row>
    <row r="17" spans="1:6" ht="16.8" x14ac:dyDescent="0.25">
      <c r="A17" s="100">
        <v>36942</v>
      </c>
      <c r="B17" s="101" t="s">
        <v>662</v>
      </c>
      <c r="C17" s="102" t="s">
        <v>658</v>
      </c>
      <c r="D17" s="103">
        <v>3769</v>
      </c>
      <c r="E17" s="103">
        <v>655</v>
      </c>
      <c r="F17" s="103">
        <f t="shared" si="0"/>
        <v>2468695</v>
      </c>
    </row>
    <row r="18" spans="1:6" ht="16.8" x14ac:dyDescent="0.25">
      <c r="A18" s="100">
        <v>36946</v>
      </c>
      <c r="B18" s="101" t="s">
        <v>657</v>
      </c>
      <c r="C18" s="102" t="s">
        <v>654</v>
      </c>
      <c r="D18" s="103">
        <v>308</v>
      </c>
      <c r="E18" s="103">
        <v>1299</v>
      </c>
      <c r="F18" s="103">
        <f t="shared" si="0"/>
        <v>400092</v>
      </c>
    </row>
    <row r="19" spans="1:6" ht="16.8" x14ac:dyDescent="0.25">
      <c r="A19" s="100">
        <v>36948</v>
      </c>
      <c r="B19" s="101" t="s">
        <v>653</v>
      </c>
      <c r="C19" s="102" t="s">
        <v>660</v>
      </c>
      <c r="D19" s="103">
        <v>3462</v>
      </c>
      <c r="E19" s="103">
        <v>645</v>
      </c>
      <c r="F19" s="103">
        <f t="shared" si="0"/>
        <v>2232990</v>
      </c>
    </row>
    <row r="20" spans="1:6" ht="16.8" x14ac:dyDescent="0.25">
      <c r="A20" s="100">
        <v>36949</v>
      </c>
      <c r="B20" s="101" t="s">
        <v>655</v>
      </c>
      <c r="C20" s="102" t="s">
        <v>656</v>
      </c>
      <c r="D20" s="103">
        <v>1538</v>
      </c>
      <c r="E20" s="103">
        <v>709</v>
      </c>
      <c r="F20" s="103">
        <f t="shared" si="0"/>
        <v>1090442</v>
      </c>
    </row>
    <row r="21" spans="1:6" ht="16.8" x14ac:dyDescent="0.25">
      <c r="A21" s="100">
        <v>36951</v>
      </c>
      <c r="B21" s="101" t="s">
        <v>661</v>
      </c>
      <c r="C21" s="102" t="s">
        <v>660</v>
      </c>
      <c r="D21" s="103">
        <v>4846</v>
      </c>
      <c r="E21" s="103">
        <v>645</v>
      </c>
      <c r="F21" s="103">
        <f t="shared" si="0"/>
        <v>3125670</v>
      </c>
    </row>
    <row r="22" spans="1:6" ht="16.8" x14ac:dyDescent="0.25">
      <c r="A22" s="100">
        <v>36955</v>
      </c>
      <c r="B22" s="101" t="s">
        <v>657</v>
      </c>
      <c r="C22" s="102" t="s">
        <v>658</v>
      </c>
      <c r="D22" s="103">
        <v>6154</v>
      </c>
      <c r="E22" s="103">
        <v>655</v>
      </c>
      <c r="F22" s="103">
        <f t="shared" si="0"/>
        <v>4030870</v>
      </c>
    </row>
    <row r="23" spans="1:6" ht="16.8" x14ac:dyDescent="0.25">
      <c r="A23" s="100">
        <v>36958</v>
      </c>
      <c r="B23" s="101" t="s">
        <v>655</v>
      </c>
      <c r="C23" s="102" t="s">
        <v>660</v>
      </c>
      <c r="D23" s="103">
        <v>385</v>
      </c>
      <c r="E23" s="103">
        <v>645</v>
      </c>
      <c r="F23" s="103">
        <f t="shared" si="0"/>
        <v>248325</v>
      </c>
    </row>
    <row r="24" spans="1:6" ht="16.8" x14ac:dyDescent="0.25">
      <c r="A24" s="100">
        <v>36962</v>
      </c>
      <c r="B24" s="101" t="s">
        <v>662</v>
      </c>
      <c r="C24" s="102" t="s">
        <v>656</v>
      </c>
      <c r="D24" s="103">
        <v>4846</v>
      </c>
      <c r="E24" s="103">
        <v>709</v>
      </c>
      <c r="F24" s="103">
        <f t="shared" si="0"/>
        <v>3435814</v>
      </c>
    </row>
    <row r="25" spans="1:6" ht="16.8" x14ac:dyDescent="0.25">
      <c r="A25" s="100">
        <v>36966</v>
      </c>
      <c r="B25" s="101" t="s">
        <v>653</v>
      </c>
      <c r="C25" s="102" t="s">
        <v>654</v>
      </c>
      <c r="D25" s="103">
        <v>2631</v>
      </c>
      <c r="E25" s="103">
        <v>1299</v>
      </c>
      <c r="F25" s="103">
        <f t="shared" si="0"/>
        <v>3417669</v>
      </c>
    </row>
    <row r="26" spans="1:6" ht="16.8" x14ac:dyDescent="0.25">
      <c r="A26" s="100">
        <v>36970</v>
      </c>
      <c r="B26" s="101" t="s">
        <v>657</v>
      </c>
      <c r="C26" s="102" t="s">
        <v>658</v>
      </c>
      <c r="D26" s="103">
        <v>1231</v>
      </c>
      <c r="E26" s="103">
        <v>655</v>
      </c>
      <c r="F26" s="103">
        <f t="shared" si="0"/>
        <v>806305</v>
      </c>
    </row>
    <row r="27" spans="1:6" ht="16.8" x14ac:dyDescent="0.25">
      <c r="A27" s="100">
        <v>36974</v>
      </c>
      <c r="B27" s="101" t="s">
        <v>659</v>
      </c>
      <c r="C27" s="102" t="s">
        <v>660</v>
      </c>
      <c r="D27" s="103">
        <v>1231</v>
      </c>
      <c r="E27" s="103">
        <v>645</v>
      </c>
      <c r="F27" s="103">
        <f t="shared" si="0"/>
        <v>793995</v>
      </c>
    </row>
    <row r="28" spans="1:6" ht="16.8" x14ac:dyDescent="0.25">
      <c r="A28" s="100">
        <v>36977</v>
      </c>
      <c r="B28" s="101" t="s">
        <v>655</v>
      </c>
      <c r="C28" s="102" t="s">
        <v>654</v>
      </c>
      <c r="D28" s="103">
        <v>1538</v>
      </c>
      <c r="E28" s="103">
        <v>1299</v>
      </c>
      <c r="F28" s="103">
        <f t="shared" si="0"/>
        <v>1997862</v>
      </c>
    </row>
    <row r="29" spans="1:6" ht="16.8" x14ac:dyDescent="0.25">
      <c r="A29" s="100">
        <v>36980</v>
      </c>
      <c r="B29" s="101" t="s">
        <v>653</v>
      </c>
      <c r="C29" s="102" t="s">
        <v>656</v>
      </c>
      <c r="D29" s="103">
        <v>2354</v>
      </c>
      <c r="E29" s="103">
        <v>709</v>
      </c>
      <c r="F29" s="103">
        <f t="shared" si="0"/>
        <v>1668986</v>
      </c>
    </row>
    <row r="30" spans="1:6" ht="16.8" x14ac:dyDescent="0.25">
      <c r="A30" s="100">
        <v>36982</v>
      </c>
      <c r="B30" s="101" t="s">
        <v>661</v>
      </c>
      <c r="C30" s="102" t="s">
        <v>658</v>
      </c>
      <c r="D30" s="103">
        <v>4846</v>
      </c>
      <c r="E30" s="103">
        <v>655</v>
      </c>
      <c r="F30" s="103">
        <f t="shared" si="0"/>
        <v>3174130</v>
      </c>
    </row>
    <row r="31" spans="1:6" ht="16.8" x14ac:dyDescent="0.25">
      <c r="A31" s="100">
        <v>36986</v>
      </c>
      <c r="B31" s="101" t="s">
        <v>653</v>
      </c>
      <c r="C31" s="102" t="s">
        <v>660</v>
      </c>
      <c r="D31" s="103">
        <v>4308</v>
      </c>
      <c r="E31" s="103">
        <v>645</v>
      </c>
      <c r="F31" s="103">
        <f t="shared" si="0"/>
        <v>2778660</v>
      </c>
    </row>
    <row r="32" spans="1:6" ht="16.8" x14ac:dyDescent="0.25">
      <c r="A32" s="100">
        <v>36989</v>
      </c>
      <c r="B32" s="101" t="s">
        <v>661</v>
      </c>
      <c r="C32" s="102" t="s">
        <v>656</v>
      </c>
      <c r="D32" s="103">
        <v>1846</v>
      </c>
      <c r="E32" s="103">
        <v>709</v>
      </c>
      <c r="F32" s="103">
        <f t="shared" si="0"/>
        <v>1308814</v>
      </c>
    </row>
    <row r="33" spans="1:6" ht="16.8" x14ac:dyDescent="0.25">
      <c r="A33" s="100">
        <v>36993</v>
      </c>
      <c r="B33" s="101" t="s">
        <v>659</v>
      </c>
      <c r="C33" s="102" t="s">
        <v>660</v>
      </c>
      <c r="D33" s="103">
        <v>2077</v>
      </c>
      <c r="E33" s="103">
        <v>645</v>
      </c>
      <c r="F33" s="103">
        <f t="shared" si="0"/>
        <v>1339665</v>
      </c>
    </row>
    <row r="34" spans="1:6" ht="16.8" x14ac:dyDescent="0.25">
      <c r="A34" s="100">
        <v>36997</v>
      </c>
      <c r="B34" s="101" t="s">
        <v>655</v>
      </c>
      <c r="C34" s="102" t="s">
        <v>658</v>
      </c>
      <c r="D34" s="103">
        <v>1154</v>
      </c>
      <c r="E34" s="103">
        <v>655</v>
      </c>
      <c r="F34" s="103">
        <f t="shared" si="0"/>
        <v>755870</v>
      </c>
    </row>
    <row r="35" spans="1:6" ht="16.8" x14ac:dyDescent="0.25">
      <c r="A35" s="100">
        <v>37001</v>
      </c>
      <c r="B35" s="101" t="s">
        <v>657</v>
      </c>
      <c r="C35" s="102" t="s">
        <v>654</v>
      </c>
      <c r="D35" s="103">
        <v>308</v>
      </c>
      <c r="E35" s="103">
        <v>1299</v>
      </c>
      <c r="F35" s="103">
        <f t="shared" ref="F35:F73" si="1">D35*E35</f>
        <v>400092</v>
      </c>
    </row>
    <row r="36" spans="1:6" ht="16.8" x14ac:dyDescent="0.25">
      <c r="A36" s="100">
        <v>37005</v>
      </c>
      <c r="B36" s="101" t="s">
        <v>662</v>
      </c>
      <c r="C36" s="102" t="s">
        <v>656</v>
      </c>
      <c r="D36" s="103">
        <v>3769</v>
      </c>
      <c r="E36" s="103">
        <v>709</v>
      </c>
      <c r="F36" s="103">
        <f t="shared" si="1"/>
        <v>2672221</v>
      </c>
    </row>
    <row r="37" spans="1:6" ht="16.8" x14ac:dyDescent="0.25">
      <c r="A37" s="100">
        <v>37008</v>
      </c>
      <c r="B37" s="101" t="s">
        <v>659</v>
      </c>
      <c r="C37" s="102" t="s">
        <v>654</v>
      </c>
      <c r="D37" s="103">
        <v>1154</v>
      </c>
      <c r="E37" s="103">
        <v>1299</v>
      </c>
      <c r="F37" s="103">
        <f t="shared" si="1"/>
        <v>1499046</v>
      </c>
    </row>
    <row r="38" spans="1:6" ht="16.8" x14ac:dyDescent="0.25">
      <c r="A38" s="100">
        <v>37011</v>
      </c>
      <c r="B38" s="101" t="s">
        <v>655</v>
      </c>
      <c r="C38" s="102" t="s">
        <v>658</v>
      </c>
      <c r="D38" s="103">
        <v>1846</v>
      </c>
      <c r="E38" s="103">
        <v>655</v>
      </c>
      <c r="F38" s="103">
        <f t="shared" si="1"/>
        <v>1209130</v>
      </c>
    </row>
    <row r="39" spans="1:6" ht="16.8" x14ac:dyDescent="0.25">
      <c r="A39" s="100">
        <v>37012</v>
      </c>
      <c r="B39" s="101" t="s">
        <v>653</v>
      </c>
      <c r="C39" s="102" t="s">
        <v>660</v>
      </c>
      <c r="D39" s="103">
        <v>3462</v>
      </c>
      <c r="E39" s="103">
        <v>645</v>
      </c>
      <c r="F39" s="103">
        <f t="shared" si="1"/>
        <v>2232990</v>
      </c>
    </row>
    <row r="40" spans="1:6" ht="16.8" x14ac:dyDescent="0.25">
      <c r="A40" s="100">
        <v>37016</v>
      </c>
      <c r="B40" s="101" t="s">
        <v>659</v>
      </c>
      <c r="C40" s="102" t="s">
        <v>656</v>
      </c>
      <c r="D40" s="103">
        <v>1586</v>
      </c>
      <c r="E40" s="103">
        <v>709</v>
      </c>
      <c r="F40" s="103">
        <f t="shared" si="1"/>
        <v>1124474</v>
      </c>
    </row>
    <row r="41" spans="1:6" ht="16.8" x14ac:dyDescent="0.25">
      <c r="A41" s="100">
        <v>37019</v>
      </c>
      <c r="B41" s="101" t="s">
        <v>655</v>
      </c>
      <c r="C41" s="102" t="s">
        <v>660</v>
      </c>
      <c r="D41" s="103">
        <v>1538</v>
      </c>
      <c r="E41" s="103">
        <v>645</v>
      </c>
      <c r="F41" s="103">
        <f t="shared" si="1"/>
        <v>992010</v>
      </c>
    </row>
    <row r="42" spans="1:6" ht="16.8" x14ac:dyDescent="0.25">
      <c r="A42" s="100">
        <v>37023</v>
      </c>
      <c r="B42" s="101" t="s">
        <v>657</v>
      </c>
      <c r="C42" s="102" t="s">
        <v>656</v>
      </c>
      <c r="D42" s="103">
        <v>1231</v>
      </c>
      <c r="E42" s="103">
        <v>709</v>
      </c>
      <c r="F42" s="103">
        <f t="shared" si="1"/>
        <v>872779</v>
      </c>
    </row>
    <row r="43" spans="1:6" ht="16.8" x14ac:dyDescent="0.25">
      <c r="A43" s="100">
        <v>37027</v>
      </c>
      <c r="B43" s="101" t="s">
        <v>653</v>
      </c>
      <c r="C43" s="102" t="s">
        <v>658</v>
      </c>
      <c r="D43" s="103">
        <v>385</v>
      </c>
      <c r="E43" s="103">
        <v>655</v>
      </c>
      <c r="F43" s="103">
        <f t="shared" si="1"/>
        <v>252175</v>
      </c>
    </row>
    <row r="44" spans="1:6" ht="16.8" x14ac:dyDescent="0.25">
      <c r="A44" s="100">
        <v>37031</v>
      </c>
      <c r="B44" s="101" t="s">
        <v>659</v>
      </c>
      <c r="C44" s="102" t="s">
        <v>654</v>
      </c>
      <c r="D44" s="103">
        <v>1231</v>
      </c>
      <c r="E44" s="103">
        <v>1299</v>
      </c>
      <c r="F44" s="103">
        <f t="shared" si="1"/>
        <v>1599069</v>
      </c>
    </row>
    <row r="45" spans="1:6" ht="16.8" x14ac:dyDescent="0.25">
      <c r="A45" s="100">
        <v>37035</v>
      </c>
      <c r="B45" s="101" t="s">
        <v>657</v>
      </c>
      <c r="C45" s="102" t="s">
        <v>656</v>
      </c>
      <c r="D45" s="103">
        <v>1231</v>
      </c>
      <c r="E45" s="103">
        <v>709</v>
      </c>
      <c r="F45" s="103">
        <f t="shared" si="1"/>
        <v>872779</v>
      </c>
    </row>
    <row r="46" spans="1:6" ht="16.8" x14ac:dyDescent="0.25">
      <c r="A46" s="100">
        <v>37038</v>
      </c>
      <c r="B46" s="101" t="s">
        <v>655</v>
      </c>
      <c r="C46" s="102" t="s">
        <v>660</v>
      </c>
      <c r="D46" s="103">
        <v>1538</v>
      </c>
      <c r="E46" s="103">
        <v>645</v>
      </c>
      <c r="F46" s="103">
        <f t="shared" si="1"/>
        <v>992010</v>
      </c>
    </row>
    <row r="47" spans="1:6" ht="16.8" x14ac:dyDescent="0.25">
      <c r="A47" s="100">
        <v>37041</v>
      </c>
      <c r="B47" s="101" t="s">
        <v>653</v>
      </c>
      <c r="C47" s="102" t="s">
        <v>658</v>
      </c>
      <c r="D47" s="103">
        <v>385</v>
      </c>
      <c r="E47" s="103">
        <v>655</v>
      </c>
      <c r="F47" s="103">
        <f t="shared" si="1"/>
        <v>252175</v>
      </c>
    </row>
    <row r="48" spans="1:6" ht="16.8" x14ac:dyDescent="0.25">
      <c r="A48" s="100">
        <v>37043</v>
      </c>
      <c r="B48" s="101" t="s">
        <v>661</v>
      </c>
      <c r="C48" s="102" t="s">
        <v>660</v>
      </c>
      <c r="D48" s="103">
        <v>4846</v>
      </c>
      <c r="E48" s="103">
        <v>645</v>
      </c>
      <c r="F48" s="103">
        <f t="shared" si="1"/>
        <v>3125670</v>
      </c>
    </row>
    <row r="49" spans="1:6" ht="16.8" x14ac:dyDescent="0.25">
      <c r="A49" s="100">
        <v>37047</v>
      </c>
      <c r="B49" s="101" t="s">
        <v>661</v>
      </c>
      <c r="C49" s="102" t="s">
        <v>654</v>
      </c>
      <c r="D49" s="103">
        <v>1589</v>
      </c>
      <c r="E49" s="103">
        <v>1299</v>
      </c>
      <c r="F49" s="103">
        <f t="shared" si="1"/>
        <v>2064111</v>
      </c>
    </row>
    <row r="50" spans="1:6" ht="16.8" x14ac:dyDescent="0.25">
      <c r="A50" s="100">
        <v>37050</v>
      </c>
      <c r="B50" s="101" t="s">
        <v>653</v>
      </c>
      <c r="C50" s="102" t="s">
        <v>654</v>
      </c>
      <c r="D50" s="103">
        <v>1587</v>
      </c>
      <c r="E50" s="103">
        <v>1299</v>
      </c>
      <c r="F50" s="103">
        <f t="shared" si="1"/>
        <v>2061513</v>
      </c>
    </row>
    <row r="51" spans="1:6" ht="16.8" x14ac:dyDescent="0.25">
      <c r="A51" s="100">
        <v>37054</v>
      </c>
      <c r="B51" s="101" t="s">
        <v>661</v>
      </c>
      <c r="C51" s="102" t="s">
        <v>658</v>
      </c>
      <c r="D51" s="103">
        <v>1846</v>
      </c>
      <c r="E51" s="103">
        <v>655</v>
      </c>
      <c r="F51" s="103">
        <f t="shared" si="1"/>
        <v>1209130</v>
      </c>
    </row>
    <row r="52" spans="1:6" ht="16.8" x14ac:dyDescent="0.25">
      <c r="A52" s="100">
        <v>37058</v>
      </c>
      <c r="B52" s="101" t="s">
        <v>657</v>
      </c>
      <c r="C52" s="102" t="s">
        <v>660</v>
      </c>
      <c r="D52" s="103">
        <v>308</v>
      </c>
      <c r="E52" s="103">
        <v>645</v>
      </c>
      <c r="F52" s="103">
        <f t="shared" si="1"/>
        <v>198660</v>
      </c>
    </row>
    <row r="53" spans="1:6" ht="16.8" x14ac:dyDescent="0.25">
      <c r="A53" s="100">
        <v>37062</v>
      </c>
      <c r="B53" s="101" t="s">
        <v>662</v>
      </c>
      <c r="C53" s="102" t="s">
        <v>654</v>
      </c>
      <c r="D53" s="103">
        <v>1589</v>
      </c>
      <c r="E53" s="103">
        <v>1299</v>
      </c>
      <c r="F53" s="103">
        <f t="shared" si="1"/>
        <v>2064111</v>
      </c>
    </row>
    <row r="54" spans="1:6" ht="16.8" x14ac:dyDescent="0.25">
      <c r="A54" s="100">
        <v>37066</v>
      </c>
      <c r="B54" s="101" t="s">
        <v>655</v>
      </c>
      <c r="C54" s="102" t="s">
        <v>656</v>
      </c>
      <c r="D54" s="103">
        <v>1154</v>
      </c>
      <c r="E54" s="103">
        <v>709</v>
      </c>
      <c r="F54" s="103">
        <f t="shared" si="1"/>
        <v>818186</v>
      </c>
    </row>
    <row r="55" spans="1:6" ht="16.8" x14ac:dyDescent="0.25">
      <c r="A55" s="100">
        <v>37069</v>
      </c>
      <c r="B55" s="101" t="s">
        <v>659</v>
      </c>
      <c r="C55" s="102" t="s">
        <v>654</v>
      </c>
      <c r="D55" s="103">
        <v>1123</v>
      </c>
      <c r="E55" s="103">
        <v>1299</v>
      </c>
      <c r="F55" s="103">
        <f t="shared" si="1"/>
        <v>1458777</v>
      </c>
    </row>
    <row r="56" spans="1:6" ht="16.8" x14ac:dyDescent="0.25">
      <c r="A56" s="100">
        <v>37072</v>
      </c>
      <c r="B56" s="101" t="s">
        <v>662</v>
      </c>
      <c r="C56" s="102" t="s">
        <v>660</v>
      </c>
      <c r="D56" s="103">
        <v>3769</v>
      </c>
      <c r="E56" s="103">
        <v>645</v>
      </c>
      <c r="F56" s="103">
        <f t="shared" si="1"/>
        <v>2431005</v>
      </c>
    </row>
    <row r="57" spans="1:6" ht="16.8" x14ac:dyDescent="0.25">
      <c r="A57" s="100">
        <v>37075</v>
      </c>
      <c r="B57" s="101" t="s">
        <v>659</v>
      </c>
      <c r="C57" s="102" t="s">
        <v>656</v>
      </c>
      <c r="D57" s="103">
        <v>2856</v>
      </c>
      <c r="E57" s="103">
        <v>709</v>
      </c>
      <c r="F57" s="103">
        <f t="shared" si="1"/>
        <v>2024904</v>
      </c>
    </row>
    <row r="58" spans="1:6" ht="16.8" x14ac:dyDescent="0.25">
      <c r="A58" s="100">
        <v>36892</v>
      </c>
      <c r="B58" s="101" t="s">
        <v>653</v>
      </c>
      <c r="C58" s="102" t="s">
        <v>654</v>
      </c>
      <c r="D58" s="103">
        <v>985</v>
      </c>
      <c r="E58" s="103">
        <v>1299</v>
      </c>
      <c r="F58" s="103">
        <f t="shared" si="1"/>
        <v>1279515</v>
      </c>
    </row>
    <row r="59" spans="1:6" ht="16.8" x14ac:dyDescent="0.25">
      <c r="A59" s="100">
        <v>36892</v>
      </c>
      <c r="B59" s="101" t="s">
        <v>653</v>
      </c>
      <c r="C59" s="102" t="s">
        <v>654</v>
      </c>
      <c r="D59" s="103">
        <v>985</v>
      </c>
      <c r="E59" s="103">
        <v>1299</v>
      </c>
      <c r="F59" s="103">
        <f t="shared" si="1"/>
        <v>1279515</v>
      </c>
    </row>
    <row r="60" spans="1:6" ht="16.8" x14ac:dyDescent="0.25">
      <c r="A60" s="100">
        <v>36892</v>
      </c>
      <c r="B60" s="101" t="s">
        <v>653</v>
      </c>
      <c r="C60" s="102" t="s">
        <v>654</v>
      </c>
      <c r="D60" s="103">
        <v>985</v>
      </c>
      <c r="E60" s="103">
        <v>1299</v>
      </c>
      <c r="F60" s="103">
        <f t="shared" si="1"/>
        <v>1279515</v>
      </c>
    </row>
    <row r="61" spans="1:6" ht="16.8" x14ac:dyDescent="0.25">
      <c r="A61" s="100">
        <v>36892</v>
      </c>
      <c r="B61" s="101" t="s">
        <v>653</v>
      </c>
      <c r="C61" s="102" t="s">
        <v>654</v>
      </c>
      <c r="D61" s="103">
        <v>985</v>
      </c>
      <c r="E61" s="103">
        <v>1299</v>
      </c>
      <c r="F61" s="103">
        <f t="shared" si="1"/>
        <v>1279515</v>
      </c>
    </row>
    <row r="62" spans="1:6" ht="16.8" x14ac:dyDescent="0.25">
      <c r="A62" s="100">
        <v>36892</v>
      </c>
      <c r="B62" s="101" t="s">
        <v>653</v>
      </c>
      <c r="C62" s="102" t="s">
        <v>654</v>
      </c>
      <c r="D62" s="103">
        <v>985</v>
      </c>
      <c r="E62" s="103">
        <v>1299</v>
      </c>
      <c r="F62" s="103">
        <f t="shared" si="1"/>
        <v>1279515</v>
      </c>
    </row>
    <row r="63" spans="1:6" ht="16.8" x14ac:dyDescent="0.25">
      <c r="A63" s="100">
        <v>36892</v>
      </c>
      <c r="B63" s="101" t="s">
        <v>653</v>
      </c>
      <c r="C63" s="102" t="s">
        <v>654</v>
      </c>
      <c r="D63" s="103">
        <v>985</v>
      </c>
      <c r="E63" s="103">
        <v>1299</v>
      </c>
      <c r="F63" s="103">
        <f t="shared" si="1"/>
        <v>1279515</v>
      </c>
    </row>
    <row r="64" spans="1:6" ht="16.8" x14ac:dyDescent="0.25">
      <c r="A64" s="100">
        <v>36892</v>
      </c>
      <c r="B64" s="101" t="s">
        <v>653</v>
      </c>
      <c r="C64" s="102" t="s">
        <v>654</v>
      </c>
      <c r="D64" s="103">
        <v>985</v>
      </c>
      <c r="E64" s="103">
        <v>1299</v>
      </c>
      <c r="F64" s="103">
        <f t="shared" si="1"/>
        <v>1279515</v>
      </c>
    </row>
    <row r="65" spans="1:6" ht="16.8" x14ac:dyDescent="0.25">
      <c r="A65" s="100">
        <v>36892</v>
      </c>
      <c r="B65" s="101" t="s">
        <v>653</v>
      </c>
      <c r="C65" s="102" t="s">
        <v>654</v>
      </c>
      <c r="D65" s="103">
        <v>985</v>
      </c>
      <c r="E65" s="103">
        <v>1299</v>
      </c>
      <c r="F65" s="103">
        <f t="shared" si="1"/>
        <v>1279515</v>
      </c>
    </row>
    <row r="66" spans="1:6" ht="16.8" x14ac:dyDescent="0.25">
      <c r="A66" s="100">
        <v>36892</v>
      </c>
      <c r="B66" s="101" t="s">
        <v>653</v>
      </c>
      <c r="C66" s="102" t="s">
        <v>654</v>
      </c>
      <c r="D66" s="103">
        <v>985</v>
      </c>
      <c r="E66" s="103">
        <v>1299</v>
      </c>
      <c r="F66" s="103">
        <f t="shared" si="1"/>
        <v>1279515</v>
      </c>
    </row>
    <row r="67" spans="1:6" ht="16.8" x14ac:dyDescent="0.25">
      <c r="A67" s="100">
        <v>36892</v>
      </c>
      <c r="B67" s="101" t="s">
        <v>653</v>
      </c>
      <c r="C67" s="102" t="s">
        <v>654</v>
      </c>
      <c r="D67" s="103">
        <v>985</v>
      </c>
      <c r="E67" s="103">
        <v>1299</v>
      </c>
      <c r="F67" s="103">
        <f t="shared" si="1"/>
        <v>1279515</v>
      </c>
    </row>
    <row r="68" spans="1:6" ht="16.8" x14ac:dyDescent="0.25">
      <c r="A68" s="100">
        <v>36892</v>
      </c>
      <c r="B68" s="101" t="s">
        <v>653</v>
      </c>
      <c r="C68" s="102" t="s">
        <v>654</v>
      </c>
      <c r="D68" s="103">
        <v>985</v>
      </c>
      <c r="E68" s="103">
        <v>1299</v>
      </c>
      <c r="F68" s="103">
        <f t="shared" si="1"/>
        <v>1279515</v>
      </c>
    </row>
    <row r="69" spans="1:6" ht="16.8" x14ac:dyDescent="0.25">
      <c r="A69" s="100">
        <v>36892</v>
      </c>
      <c r="B69" s="101" t="s">
        <v>653</v>
      </c>
      <c r="C69" s="102" t="s">
        <v>654</v>
      </c>
      <c r="D69" s="103">
        <v>985</v>
      </c>
      <c r="E69" s="103">
        <v>1299</v>
      </c>
      <c r="F69" s="103">
        <f t="shared" si="1"/>
        <v>1279515</v>
      </c>
    </row>
    <row r="70" spans="1:6" ht="16.8" x14ac:dyDescent="0.25">
      <c r="A70" s="100">
        <v>36892</v>
      </c>
      <c r="B70" s="101" t="s">
        <v>653</v>
      </c>
      <c r="C70" s="102" t="s">
        <v>654</v>
      </c>
      <c r="D70" s="103">
        <v>985</v>
      </c>
      <c r="E70" s="103">
        <v>1299</v>
      </c>
      <c r="F70" s="103">
        <f t="shared" si="1"/>
        <v>1279515</v>
      </c>
    </row>
    <row r="71" spans="1:6" ht="16.8" x14ac:dyDescent="0.25">
      <c r="A71" s="100">
        <v>36892</v>
      </c>
      <c r="B71" s="101" t="s">
        <v>653</v>
      </c>
      <c r="C71" s="102" t="s">
        <v>654</v>
      </c>
      <c r="D71" s="103">
        <v>985</v>
      </c>
      <c r="E71" s="103">
        <v>1299</v>
      </c>
      <c r="F71" s="103">
        <f t="shared" si="1"/>
        <v>1279515</v>
      </c>
    </row>
    <row r="72" spans="1:6" ht="16.8" x14ac:dyDescent="0.25">
      <c r="A72" s="100">
        <v>36892</v>
      </c>
      <c r="B72" s="101" t="s">
        <v>653</v>
      </c>
      <c r="C72" s="102" t="s">
        <v>654</v>
      </c>
      <c r="D72" s="103">
        <v>985</v>
      </c>
      <c r="E72" s="103">
        <v>1299</v>
      </c>
      <c r="F72" s="103">
        <f t="shared" si="1"/>
        <v>1279515</v>
      </c>
    </row>
    <row r="73" spans="1:6" ht="16.8" x14ac:dyDescent="0.25">
      <c r="A73" s="100">
        <v>36892</v>
      </c>
      <c r="B73" s="101" t="s">
        <v>653</v>
      </c>
      <c r="C73" s="102" t="s">
        <v>654</v>
      </c>
      <c r="D73" s="103">
        <v>985</v>
      </c>
      <c r="E73" s="103">
        <v>1299</v>
      </c>
      <c r="F73" s="103">
        <f t="shared" si="1"/>
        <v>1279515</v>
      </c>
    </row>
  </sheetData>
  <mergeCells count="1">
    <mergeCell ref="A1:F1"/>
  </mergeCells>
  <phoneticPr fontId="4" type="noConversion"/>
  <pageMargins left="0.75" right="0.75" top="1" bottom="1" header="0.5" footer="0.5"/>
  <headerFooter alignWithMargins="0"/>
  <drawing r:id="rId1"/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1"/>
  <dimension ref="A4:J59"/>
  <sheetViews>
    <sheetView workbookViewId="0">
      <selection activeCell="E27" sqref="D27:E27"/>
    </sheetView>
  </sheetViews>
  <sheetFormatPr defaultRowHeight="14.4" x14ac:dyDescent="0.25"/>
  <cols>
    <col min="1" max="1" width="10.69921875" bestFit="1" customWidth="1"/>
    <col min="2" max="3" width="12.59765625" bestFit="1" customWidth="1"/>
    <col min="4" max="4" width="13.3984375" bestFit="1" customWidth="1"/>
    <col min="5" max="5" width="9.09765625" bestFit="1" customWidth="1"/>
    <col min="6" max="6" width="13.796875" bestFit="1" customWidth="1"/>
    <col min="7" max="7" width="13.796875" customWidth="1"/>
    <col min="8" max="8" width="16.5" customWidth="1"/>
    <col min="9" max="10" width="12.59765625" bestFit="1" customWidth="1"/>
  </cols>
  <sheetData>
    <row r="4" spans="1:10" ht="16.8" x14ac:dyDescent="0.25">
      <c r="A4" s="97" t="s">
        <v>647</v>
      </c>
      <c r="B4" s="98" t="s">
        <v>648</v>
      </c>
      <c r="C4" s="98" t="s">
        <v>649</v>
      </c>
      <c r="D4" s="99" t="s">
        <v>650</v>
      </c>
      <c r="E4" s="99" t="s">
        <v>651</v>
      </c>
      <c r="F4" s="99" t="s">
        <v>652</v>
      </c>
      <c r="I4" s="98" t="s">
        <v>648</v>
      </c>
      <c r="J4" s="98" t="s">
        <v>649</v>
      </c>
    </row>
    <row r="5" spans="1:10" ht="16.8" x14ac:dyDescent="0.25">
      <c r="A5" s="100">
        <v>36892</v>
      </c>
      <c r="B5" s="101" t="s">
        <v>653</v>
      </c>
      <c r="C5" s="102" t="s">
        <v>654</v>
      </c>
      <c r="D5" s="103">
        <v>985</v>
      </c>
      <c r="E5" s="103">
        <v>1299</v>
      </c>
      <c r="F5" s="103">
        <v>1279515</v>
      </c>
      <c r="G5" s="103"/>
      <c r="I5" s="101" t="s">
        <v>653</v>
      </c>
    </row>
    <row r="6" spans="1:10" ht="16.8" x14ac:dyDescent="0.25">
      <c r="A6" s="100">
        <v>36927</v>
      </c>
      <c r="B6" s="101" t="s">
        <v>653</v>
      </c>
      <c r="C6" s="102" t="s">
        <v>656</v>
      </c>
      <c r="D6" s="103">
        <v>1598</v>
      </c>
      <c r="E6" s="103">
        <v>709</v>
      </c>
      <c r="F6" s="103">
        <v>1132982</v>
      </c>
      <c r="G6" s="103"/>
      <c r="I6" s="101" t="s">
        <v>655</v>
      </c>
    </row>
    <row r="7" spans="1:10" ht="16.8" x14ac:dyDescent="0.25">
      <c r="A7" s="100">
        <v>36948</v>
      </c>
      <c r="B7" s="101" t="s">
        <v>653</v>
      </c>
      <c r="C7" s="102" t="s">
        <v>660</v>
      </c>
      <c r="D7" s="103">
        <v>3462</v>
      </c>
      <c r="E7" s="103">
        <v>645</v>
      </c>
      <c r="F7" s="103">
        <v>2232990</v>
      </c>
      <c r="G7" s="103"/>
    </row>
    <row r="8" spans="1:10" ht="16.8" x14ac:dyDescent="0.25">
      <c r="A8" s="100">
        <v>36966</v>
      </c>
      <c r="B8" s="101" t="s">
        <v>653</v>
      </c>
      <c r="C8" s="102" t="s">
        <v>654</v>
      </c>
      <c r="D8" s="103">
        <v>2631</v>
      </c>
      <c r="E8" s="103">
        <v>1299</v>
      </c>
      <c r="F8" s="103">
        <v>3417669</v>
      </c>
      <c r="G8" s="103"/>
      <c r="I8" s="101" t="s">
        <v>653</v>
      </c>
      <c r="J8" s="102" t="s">
        <v>654</v>
      </c>
    </row>
    <row r="9" spans="1:10" ht="16.8" x14ac:dyDescent="0.25">
      <c r="A9" s="100">
        <v>36980</v>
      </c>
      <c r="B9" s="101" t="s">
        <v>653</v>
      </c>
      <c r="C9" s="102" t="s">
        <v>656</v>
      </c>
      <c r="D9" s="103">
        <v>2354</v>
      </c>
      <c r="E9" s="103">
        <v>709</v>
      </c>
      <c r="F9" s="103">
        <v>1668986</v>
      </c>
      <c r="G9" s="103"/>
      <c r="I9" s="101" t="s">
        <v>655</v>
      </c>
      <c r="J9" s="102" t="s">
        <v>656</v>
      </c>
    </row>
    <row r="10" spans="1:10" ht="16.8" x14ac:dyDescent="0.25">
      <c r="A10" s="100">
        <v>36986</v>
      </c>
      <c r="B10" s="101" t="s">
        <v>653</v>
      </c>
      <c r="C10" s="102" t="s">
        <v>660</v>
      </c>
      <c r="D10" s="103">
        <v>4308</v>
      </c>
      <c r="E10" s="103">
        <v>645</v>
      </c>
      <c r="F10" s="103">
        <v>2778660</v>
      </c>
      <c r="G10" s="103"/>
      <c r="I10" s="101" t="s">
        <v>657</v>
      </c>
      <c r="J10" s="102" t="s">
        <v>658</v>
      </c>
    </row>
    <row r="11" spans="1:10" ht="16.8" x14ac:dyDescent="0.25">
      <c r="A11" s="100">
        <v>37012</v>
      </c>
      <c r="B11" s="101" t="s">
        <v>653</v>
      </c>
      <c r="C11" s="102" t="s">
        <v>660</v>
      </c>
      <c r="D11" s="103">
        <v>3462</v>
      </c>
      <c r="E11" s="103">
        <v>645</v>
      </c>
      <c r="F11" s="103">
        <v>2232990</v>
      </c>
      <c r="G11" s="103"/>
      <c r="I11" s="101" t="s">
        <v>659</v>
      </c>
      <c r="J11" s="102" t="s">
        <v>660</v>
      </c>
    </row>
    <row r="12" spans="1:10" ht="16.8" x14ac:dyDescent="0.25">
      <c r="A12" s="100">
        <v>37027</v>
      </c>
      <c r="B12" s="101" t="s">
        <v>653</v>
      </c>
      <c r="C12" s="102" t="s">
        <v>658</v>
      </c>
      <c r="D12" s="103">
        <v>385</v>
      </c>
      <c r="E12" s="103">
        <v>655</v>
      </c>
      <c r="F12" s="103">
        <v>252175</v>
      </c>
      <c r="G12" s="103"/>
      <c r="I12" s="101" t="s">
        <v>661</v>
      </c>
      <c r="J12" s="102"/>
    </row>
    <row r="13" spans="1:10" ht="16.8" x14ac:dyDescent="0.25">
      <c r="A13" s="100">
        <v>37041</v>
      </c>
      <c r="B13" s="101" t="s">
        <v>653</v>
      </c>
      <c r="C13" s="102" t="s">
        <v>658</v>
      </c>
      <c r="D13" s="103">
        <v>385</v>
      </c>
      <c r="E13" s="103">
        <v>655</v>
      </c>
      <c r="F13" s="103">
        <v>252175</v>
      </c>
      <c r="G13" s="103"/>
      <c r="I13" s="101" t="s">
        <v>662</v>
      </c>
      <c r="J13" s="102"/>
    </row>
    <row r="14" spans="1:10" ht="16.8" x14ac:dyDescent="0.25">
      <c r="A14" s="100">
        <v>37050</v>
      </c>
      <c r="B14" s="101" t="s">
        <v>653</v>
      </c>
      <c r="C14" s="102" t="s">
        <v>654</v>
      </c>
      <c r="D14" s="103">
        <v>1587</v>
      </c>
      <c r="E14" s="103">
        <v>1299</v>
      </c>
      <c r="F14" s="103">
        <v>2061513</v>
      </c>
      <c r="G14" s="103"/>
    </row>
    <row r="15" spans="1:10" ht="16.8" x14ac:dyDescent="0.25">
      <c r="A15" s="100"/>
      <c r="B15" s="101"/>
      <c r="C15" s="102"/>
      <c r="D15" s="103"/>
      <c r="E15" s="103"/>
      <c r="F15" s="103"/>
    </row>
    <row r="16" spans="1:10" ht="16.8" x14ac:dyDescent="0.25">
      <c r="A16" s="100"/>
      <c r="B16" s="101"/>
      <c r="C16" s="102"/>
      <c r="D16" s="103"/>
      <c r="E16" s="103"/>
      <c r="F16" s="103"/>
    </row>
    <row r="17" spans="1:6" ht="16.8" x14ac:dyDescent="0.25">
      <c r="A17" s="100"/>
      <c r="B17" s="101"/>
      <c r="C17" s="102"/>
      <c r="D17" s="103"/>
      <c r="E17" s="103"/>
      <c r="F17" s="103"/>
    </row>
    <row r="18" spans="1:6" ht="16.8" x14ac:dyDescent="0.25">
      <c r="A18" s="100"/>
      <c r="B18" s="101"/>
      <c r="C18" s="102"/>
      <c r="D18" s="103"/>
      <c r="E18" s="103"/>
      <c r="F18" s="103"/>
    </row>
    <row r="19" spans="1:6" ht="16.8" x14ac:dyDescent="0.25">
      <c r="A19" s="100"/>
      <c r="B19" s="101"/>
      <c r="C19" s="102"/>
      <c r="D19" s="103"/>
      <c r="E19" s="103"/>
      <c r="F19" s="103"/>
    </row>
    <row r="20" spans="1:6" ht="16.8" x14ac:dyDescent="0.25">
      <c r="A20" s="100"/>
      <c r="B20" s="101"/>
      <c r="C20" s="102"/>
      <c r="D20" s="103"/>
      <c r="E20" s="103"/>
      <c r="F20" s="103"/>
    </row>
    <row r="21" spans="1:6" ht="16.8" x14ac:dyDescent="0.25">
      <c r="A21" s="100"/>
      <c r="B21" s="101"/>
      <c r="C21" s="102"/>
      <c r="D21" s="103"/>
      <c r="E21" s="103"/>
      <c r="F21" s="103"/>
    </row>
    <row r="22" spans="1:6" ht="16.8" x14ac:dyDescent="0.25">
      <c r="A22" s="100"/>
      <c r="B22" s="101"/>
      <c r="C22" s="102"/>
      <c r="D22" s="103"/>
      <c r="E22" s="103"/>
      <c r="F22" s="103"/>
    </row>
    <row r="23" spans="1:6" ht="16.8" x14ac:dyDescent="0.25">
      <c r="A23" s="100"/>
      <c r="B23" s="101"/>
      <c r="C23" s="102"/>
      <c r="D23" s="103"/>
      <c r="E23" s="103"/>
      <c r="F23" s="103"/>
    </row>
    <row r="24" spans="1:6" ht="16.8" x14ac:dyDescent="0.25">
      <c r="A24" s="100"/>
      <c r="B24" s="101"/>
      <c r="C24" s="102"/>
      <c r="D24" s="103"/>
      <c r="E24" s="103"/>
      <c r="F24" s="103"/>
    </row>
    <row r="25" spans="1:6" ht="16.8" x14ac:dyDescent="0.25">
      <c r="A25" s="100"/>
      <c r="B25" s="101"/>
      <c r="C25" s="102"/>
      <c r="D25" s="103"/>
      <c r="E25" s="103"/>
      <c r="F25" s="103"/>
    </row>
    <row r="26" spans="1:6" ht="16.8" x14ac:dyDescent="0.25">
      <c r="A26" s="100"/>
      <c r="B26" s="101"/>
      <c r="C26" s="102"/>
      <c r="D26" s="103"/>
      <c r="E26" s="103"/>
      <c r="F26" s="103"/>
    </row>
    <row r="27" spans="1:6" ht="16.8" x14ac:dyDescent="0.25">
      <c r="A27" s="100"/>
      <c r="B27" s="101"/>
      <c r="C27" s="102"/>
      <c r="D27" s="103"/>
      <c r="E27" s="103"/>
      <c r="F27" s="103"/>
    </row>
    <row r="28" spans="1:6" ht="16.8" x14ac:dyDescent="0.25">
      <c r="A28" s="100"/>
      <c r="B28" s="101"/>
      <c r="C28" s="102"/>
      <c r="D28" s="103"/>
      <c r="E28" s="103"/>
      <c r="F28" s="103"/>
    </row>
    <row r="29" spans="1:6" ht="16.8" x14ac:dyDescent="0.25">
      <c r="A29" s="100"/>
      <c r="B29" s="101"/>
      <c r="C29" s="102"/>
      <c r="D29" s="103"/>
      <c r="E29" s="103"/>
      <c r="F29" s="103"/>
    </row>
    <row r="30" spans="1:6" ht="16.8" x14ac:dyDescent="0.25">
      <c r="A30" s="100"/>
      <c r="B30" s="101"/>
      <c r="C30" s="102"/>
      <c r="D30" s="103"/>
      <c r="E30" s="103"/>
      <c r="F30" s="103"/>
    </row>
    <row r="31" spans="1:6" ht="16.8" x14ac:dyDescent="0.25">
      <c r="A31" s="100"/>
      <c r="B31" s="101"/>
      <c r="C31" s="102"/>
      <c r="D31" s="103"/>
      <c r="E31" s="103"/>
      <c r="F31" s="103"/>
    </row>
    <row r="32" spans="1:6" ht="16.8" x14ac:dyDescent="0.25">
      <c r="A32" s="100"/>
      <c r="B32" s="101"/>
      <c r="C32" s="102"/>
      <c r="D32" s="103"/>
      <c r="E32" s="103"/>
      <c r="F32" s="103"/>
    </row>
    <row r="33" spans="1:6" ht="16.8" x14ac:dyDescent="0.25">
      <c r="A33" s="100"/>
      <c r="B33" s="101"/>
      <c r="C33" s="102"/>
      <c r="D33" s="103"/>
      <c r="E33" s="103"/>
      <c r="F33" s="103"/>
    </row>
    <row r="34" spans="1:6" ht="16.8" x14ac:dyDescent="0.25">
      <c r="A34" s="100"/>
      <c r="B34" s="101"/>
      <c r="C34" s="102"/>
      <c r="D34" s="103"/>
      <c r="E34" s="103"/>
      <c r="F34" s="103"/>
    </row>
    <row r="35" spans="1:6" ht="16.8" x14ac:dyDescent="0.25">
      <c r="A35" s="100"/>
      <c r="B35" s="101"/>
      <c r="C35" s="102"/>
      <c r="D35" s="103"/>
      <c r="E35" s="103"/>
      <c r="F35" s="103"/>
    </row>
    <row r="36" spans="1:6" ht="16.8" x14ac:dyDescent="0.25">
      <c r="A36" s="100"/>
      <c r="B36" s="101"/>
      <c r="C36" s="102"/>
      <c r="D36" s="103"/>
      <c r="E36" s="103"/>
      <c r="F36" s="103"/>
    </row>
    <row r="37" spans="1:6" ht="16.8" x14ac:dyDescent="0.25">
      <c r="A37" s="100"/>
      <c r="B37" s="101"/>
      <c r="C37" s="102"/>
      <c r="D37" s="103"/>
      <c r="E37" s="103"/>
      <c r="F37" s="103"/>
    </row>
    <row r="38" spans="1:6" ht="16.8" x14ac:dyDescent="0.25">
      <c r="A38" s="100"/>
      <c r="B38" s="101"/>
      <c r="C38" s="102"/>
      <c r="D38" s="103"/>
      <c r="E38" s="103"/>
      <c r="F38" s="103"/>
    </row>
    <row r="39" spans="1:6" ht="16.8" x14ac:dyDescent="0.25">
      <c r="A39" s="100"/>
      <c r="B39" s="101"/>
      <c r="C39" s="102"/>
      <c r="D39" s="103"/>
      <c r="E39" s="103"/>
      <c r="F39" s="103"/>
    </row>
    <row r="40" spans="1:6" ht="16.8" x14ac:dyDescent="0.25">
      <c r="A40" s="100"/>
      <c r="B40" s="101"/>
      <c r="C40" s="102"/>
      <c r="D40" s="103"/>
      <c r="E40" s="103"/>
      <c r="F40" s="103"/>
    </row>
    <row r="41" spans="1:6" ht="16.8" x14ac:dyDescent="0.25">
      <c r="A41" s="100"/>
      <c r="B41" s="101"/>
      <c r="C41" s="102"/>
      <c r="D41" s="103"/>
      <c r="E41" s="103"/>
      <c r="F41" s="103"/>
    </row>
    <row r="42" spans="1:6" ht="16.8" x14ac:dyDescent="0.25">
      <c r="A42" s="100"/>
      <c r="B42" s="101"/>
      <c r="C42" s="102"/>
      <c r="D42" s="103"/>
      <c r="E42" s="103"/>
      <c r="F42" s="103"/>
    </row>
    <row r="43" spans="1:6" ht="16.8" x14ac:dyDescent="0.25">
      <c r="A43" s="100"/>
      <c r="B43" s="101"/>
      <c r="C43" s="102"/>
      <c r="D43" s="103"/>
      <c r="E43" s="103"/>
      <c r="F43" s="103"/>
    </row>
    <row r="44" spans="1:6" ht="16.8" x14ac:dyDescent="0.25">
      <c r="A44" s="100"/>
      <c r="B44" s="101"/>
      <c r="C44" s="102"/>
      <c r="D44" s="103"/>
      <c r="E44" s="103"/>
      <c r="F44" s="103"/>
    </row>
    <row r="45" spans="1:6" ht="16.8" x14ac:dyDescent="0.25">
      <c r="A45" s="100"/>
      <c r="B45" s="101"/>
      <c r="C45" s="102"/>
      <c r="D45" s="103"/>
      <c r="E45" s="103"/>
      <c r="F45" s="103"/>
    </row>
    <row r="46" spans="1:6" ht="16.8" x14ac:dyDescent="0.25">
      <c r="A46" s="100"/>
      <c r="B46" s="101"/>
      <c r="C46" s="102"/>
      <c r="D46" s="103"/>
      <c r="E46" s="103"/>
      <c r="F46" s="103"/>
    </row>
    <row r="47" spans="1:6" ht="16.8" x14ac:dyDescent="0.25">
      <c r="A47" s="100"/>
      <c r="B47" s="101"/>
      <c r="C47" s="102"/>
      <c r="D47" s="103"/>
      <c r="E47" s="103"/>
      <c r="F47" s="103"/>
    </row>
    <row r="48" spans="1:6" ht="16.8" x14ac:dyDescent="0.25">
      <c r="A48" s="100"/>
      <c r="B48" s="101"/>
      <c r="C48" s="102"/>
      <c r="D48" s="103"/>
      <c r="E48" s="103"/>
      <c r="F48" s="103"/>
    </row>
    <row r="49" spans="1:6" ht="16.8" x14ac:dyDescent="0.25">
      <c r="A49" s="100"/>
      <c r="B49" s="101"/>
      <c r="C49" s="102"/>
      <c r="D49" s="103"/>
      <c r="E49" s="103"/>
      <c r="F49" s="103"/>
    </row>
    <row r="50" spans="1:6" ht="16.8" x14ac:dyDescent="0.25">
      <c r="A50" s="100"/>
      <c r="B50" s="101"/>
      <c r="C50" s="102"/>
      <c r="D50" s="103"/>
      <c r="E50" s="103"/>
      <c r="F50" s="103"/>
    </row>
    <row r="51" spans="1:6" ht="16.8" x14ac:dyDescent="0.25">
      <c r="A51" s="100"/>
      <c r="B51" s="101"/>
      <c r="C51" s="102"/>
      <c r="D51" s="103"/>
      <c r="E51" s="103"/>
      <c r="F51" s="103"/>
    </row>
    <row r="52" spans="1:6" ht="16.8" x14ac:dyDescent="0.25">
      <c r="A52" s="100"/>
      <c r="B52" s="101"/>
      <c r="C52" s="102"/>
      <c r="D52" s="103"/>
      <c r="E52" s="103"/>
      <c r="F52" s="103"/>
    </row>
    <row r="53" spans="1:6" ht="16.8" x14ac:dyDescent="0.25">
      <c r="A53" s="100"/>
      <c r="B53" s="101"/>
      <c r="C53" s="102"/>
      <c r="D53" s="103"/>
      <c r="E53" s="103"/>
      <c r="F53" s="103"/>
    </row>
    <row r="54" spans="1:6" ht="16.8" x14ac:dyDescent="0.25">
      <c r="A54" s="100"/>
      <c r="B54" s="101"/>
      <c r="C54" s="102"/>
      <c r="D54" s="103"/>
      <c r="E54" s="103"/>
      <c r="F54" s="103"/>
    </row>
    <row r="55" spans="1:6" ht="16.8" x14ac:dyDescent="0.25">
      <c r="A55" s="100"/>
      <c r="B55" s="101"/>
      <c r="C55" s="102"/>
      <c r="D55" s="103"/>
      <c r="E55" s="103"/>
      <c r="F55" s="103"/>
    </row>
    <row r="56" spans="1:6" ht="16.8" x14ac:dyDescent="0.25">
      <c r="A56" s="100"/>
      <c r="B56" s="101"/>
      <c r="C56" s="102"/>
      <c r="D56" s="103"/>
      <c r="E56" s="103"/>
      <c r="F56" s="103"/>
    </row>
    <row r="57" spans="1:6" ht="16.8" x14ac:dyDescent="0.25">
      <c r="A57" s="100"/>
      <c r="B57" s="101"/>
      <c r="C57" s="102"/>
      <c r="D57" s="103"/>
      <c r="E57" s="103"/>
      <c r="F57" s="103"/>
    </row>
    <row r="58" spans="1:6" ht="16.8" x14ac:dyDescent="0.25">
      <c r="A58" s="100"/>
      <c r="B58" s="101"/>
      <c r="C58" s="102"/>
      <c r="D58" s="103"/>
      <c r="E58" s="103"/>
      <c r="F58" s="103"/>
    </row>
    <row r="59" spans="1:6" ht="16.8" x14ac:dyDescent="0.25">
      <c r="A59" s="100"/>
      <c r="B59" s="101"/>
      <c r="C59" s="102"/>
      <c r="D59" s="103"/>
      <c r="E59" s="103"/>
      <c r="F59" s="103"/>
    </row>
  </sheetData>
  <autoFilter ref="A4:J4"/>
  <phoneticPr fontId="4" type="noConversion"/>
  <pageMargins left="0.75" right="0.75" top="1" bottom="1" header="0.5" footer="0.5"/>
  <headerFooter alignWithMargins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314" r:id="rId3" name="Button 2">
              <controlPr defaultSize="0" print="0" autoFill="0" autoPict="0" macro="[0]!매크로14">
                <anchor moveWithCells="1" sizeWithCells="1">
                  <from>
                    <xdr:col>11</xdr:col>
                    <xdr:colOff>617220</xdr:colOff>
                    <xdr:row>3</xdr:row>
                    <xdr:rowOff>22860</xdr:rowOff>
                  </from>
                  <to>
                    <xdr:col>13</xdr:col>
                    <xdr:colOff>419100</xdr:colOff>
                    <xdr:row>5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 filterMode="1"/>
  <dimension ref="A1:J302"/>
  <sheetViews>
    <sheetView workbookViewId="0">
      <pane ySplit="16" topLeftCell="A76" activePane="bottomLeft" state="frozen"/>
      <selection pane="bottomLeft" activeCell="F13" sqref="F13"/>
    </sheetView>
  </sheetViews>
  <sheetFormatPr defaultColWidth="15.8984375" defaultRowHeight="14.4" x14ac:dyDescent="0.25"/>
  <cols>
    <col min="1" max="1" width="1.8984375" customWidth="1"/>
    <col min="2" max="2" width="7.09765625" style="22" bestFit="1" customWidth="1"/>
    <col min="3" max="3" width="13.19921875" bestFit="1" customWidth="1"/>
    <col min="4" max="4" width="7.296875" style="10" customWidth="1"/>
    <col min="5" max="6" width="11" style="10" customWidth="1"/>
    <col min="7" max="7" width="13.69921875" style="10" customWidth="1"/>
    <col min="8" max="8" width="8.8984375" style="10" bestFit="1" customWidth="1"/>
    <col min="9" max="9" width="8.09765625" bestFit="1" customWidth="1"/>
    <col min="10" max="10" width="17.296875" bestFit="1" customWidth="1"/>
  </cols>
  <sheetData>
    <row r="1" spans="1:10" s="18" customFormat="1" x14ac:dyDescent="0.25">
      <c r="B1" s="21"/>
      <c r="D1" s="19"/>
      <c r="E1" s="19"/>
      <c r="F1" s="19"/>
      <c r="G1" s="19"/>
      <c r="H1" s="19"/>
    </row>
    <row r="2" spans="1:10" s="35" customFormat="1" ht="14.25" customHeight="1" x14ac:dyDescent="0.25">
      <c r="B2" s="44" t="s">
        <v>382</v>
      </c>
      <c r="C2" s="43"/>
      <c r="D2" s="37"/>
      <c r="E2" s="37"/>
      <c r="F2" s="44" t="s">
        <v>703</v>
      </c>
      <c r="G2" s="43"/>
      <c r="H2" s="37"/>
    </row>
    <row r="3" spans="1:10" s="35" customFormat="1" ht="6.75" customHeight="1" x14ac:dyDescent="0.25">
      <c r="B3" s="42"/>
      <c r="D3" s="37"/>
      <c r="E3" s="37"/>
      <c r="F3" s="37"/>
      <c r="G3" s="37"/>
      <c r="H3" s="37"/>
    </row>
    <row r="4" spans="1:10" s="35" customFormat="1" ht="14.25" customHeight="1" x14ac:dyDescent="0.25">
      <c r="B4" s="44" t="s">
        <v>381</v>
      </c>
      <c r="D4" s="37"/>
      <c r="E4" s="37"/>
      <c r="F4" s="37"/>
      <c r="G4" s="37"/>
      <c r="H4" s="37"/>
    </row>
    <row r="5" spans="1:10" s="35" customFormat="1" ht="7.5" customHeight="1" x14ac:dyDescent="0.25">
      <c r="B5" s="36"/>
      <c r="D5" s="37"/>
      <c r="E5" s="37"/>
      <c r="F5" s="37"/>
      <c r="G5" s="37"/>
      <c r="H5" s="37"/>
    </row>
    <row r="6" spans="1:10" s="35" customFormat="1" x14ac:dyDescent="0.25">
      <c r="B6" s="38" t="s">
        <v>379</v>
      </c>
      <c r="C6" s="39"/>
      <c r="D6" s="40"/>
      <c r="E6" s="37"/>
      <c r="F6" s="41"/>
      <c r="G6" s="37"/>
      <c r="H6" s="37"/>
    </row>
    <row r="7" spans="1:10" s="18" customFormat="1" ht="8.25" customHeight="1" x14ac:dyDescent="0.25">
      <c r="B7" s="21"/>
      <c r="D7" s="19"/>
      <c r="E7" s="19"/>
      <c r="F7" s="19"/>
      <c r="G7" s="19"/>
      <c r="H7" s="19"/>
    </row>
    <row r="9" spans="1:10" x14ac:dyDescent="0.25">
      <c r="D9" s="34">
        <v>2</v>
      </c>
      <c r="E9"/>
      <c r="H9" s="34">
        <v>1</v>
      </c>
    </row>
    <row r="11" spans="1:10" x14ac:dyDescent="0.25">
      <c r="A11" s="20" t="s">
        <v>378</v>
      </c>
    </row>
    <row r="12" spans="1:10" ht="15.75" customHeight="1" thickBot="1" x14ac:dyDescent="0.3">
      <c r="B12" s="30" t="s">
        <v>377</v>
      </c>
      <c r="C12" s="31" t="s">
        <v>0</v>
      </c>
      <c r="D12" s="31" t="s">
        <v>1</v>
      </c>
      <c r="E12" s="31" t="s">
        <v>2</v>
      </c>
      <c r="F12" s="31" t="s">
        <v>3</v>
      </c>
      <c r="G12" s="31" t="s">
        <v>4</v>
      </c>
      <c r="H12" s="31" t="s">
        <v>5</v>
      </c>
      <c r="I12" s="31" t="s">
        <v>6</v>
      </c>
      <c r="J12" s="32" t="s">
        <v>61</v>
      </c>
    </row>
    <row r="13" spans="1:10" s="4" customFormat="1" ht="13.8" thickTop="1" x14ac:dyDescent="0.2">
      <c r="B13" s="23"/>
      <c r="D13" s="11" t="str">
        <f>VLOOKUP(D9,자료목록!A2:B10,2,FALSE)</f>
        <v>김소미</v>
      </c>
      <c r="E13" s="12"/>
      <c r="F13" s="11"/>
      <c r="G13" s="11"/>
      <c r="H13" s="11" t="str">
        <f>VLOOKUP(H9,자료목록!D2:E4,2,FALSE)</f>
        <v>국제 특송 ㈜</v>
      </c>
    </row>
    <row r="14" spans="1:10" s="4" customFormat="1" ht="13.2" x14ac:dyDescent="0.2">
      <c r="B14" s="23"/>
      <c r="D14" s="11"/>
      <c r="E14" s="12"/>
      <c r="F14" s="11"/>
      <c r="G14" s="11"/>
      <c r="H14" s="11"/>
    </row>
    <row r="15" spans="1:10" x14ac:dyDescent="0.25">
      <c r="A15" s="20"/>
    </row>
    <row r="16" spans="1:10" ht="15" customHeight="1" thickBot="1" x14ac:dyDescent="0.3">
      <c r="B16" s="28" t="s">
        <v>377</v>
      </c>
      <c r="C16" s="29" t="s">
        <v>0</v>
      </c>
      <c r="D16" s="29" t="s">
        <v>1</v>
      </c>
      <c r="E16" s="29" t="s">
        <v>2</v>
      </c>
      <c r="F16" s="29" t="s">
        <v>3</v>
      </c>
      <c r="G16" s="29" t="s">
        <v>4</v>
      </c>
      <c r="H16" s="29" t="s">
        <v>5</v>
      </c>
      <c r="I16" s="29" t="s">
        <v>6</v>
      </c>
      <c r="J16" s="33" t="s">
        <v>61</v>
      </c>
    </row>
    <row r="17" spans="2:10" ht="23.4" hidden="1" thickTop="1" x14ac:dyDescent="0.25">
      <c r="B17" s="7" t="s">
        <v>104</v>
      </c>
      <c r="C17" s="8" t="s">
        <v>7</v>
      </c>
      <c r="D17" s="13" t="s">
        <v>8</v>
      </c>
      <c r="E17" s="14">
        <v>36710</v>
      </c>
      <c r="F17" s="14">
        <v>36738</v>
      </c>
      <c r="G17" s="14">
        <v>36722</v>
      </c>
      <c r="H17" s="13" t="s">
        <v>9</v>
      </c>
      <c r="I17" s="9">
        <v>32000.38</v>
      </c>
      <c r="J17" s="8" t="s">
        <v>62</v>
      </c>
    </row>
    <row r="18" spans="2:10" ht="22.8" hidden="1" x14ac:dyDescent="0.25">
      <c r="B18" s="7" t="s">
        <v>105</v>
      </c>
      <c r="C18" s="8" t="s">
        <v>10</v>
      </c>
      <c r="D18" s="13" t="s">
        <v>11</v>
      </c>
      <c r="E18" s="14">
        <v>36711</v>
      </c>
      <c r="F18" s="14">
        <v>36753</v>
      </c>
      <c r="G18" s="14">
        <v>36716</v>
      </c>
      <c r="H18" s="13" t="s">
        <v>12</v>
      </c>
      <c r="I18" s="9">
        <v>12000</v>
      </c>
      <c r="J18" s="8" t="s">
        <v>63</v>
      </c>
    </row>
    <row r="19" spans="2:10" ht="22.8" hidden="1" x14ac:dyDescent="0.25">
      <c r="B19" s="7" t="s">
        <v>106</v>
      </c>
      <c r="C19" s="8" t="s">
        <v>15</v>
      </c>
      <c r="D19" s="13" t="s">
        <v>16</v>
      </c>
      <c r="E19" s="14">
        <v>36714</v>
      </c>
      <c r="F19" s="14">
        <v>36742</v>
      </c>
      <c r="G19" s="14">
        <v>36721</v>
      </c>
      <c r="H19" s="13" t="s">
        <v>12</v>
      </c>
      <c r="I19" s="9">
        <v>41000</v>
      </c>
      <c r="J19" s="8" t="s">
        <v>64</v>
      </c>
    </row>
    <row r="20" spans="2:10" ht="22.8" hidden="1" x14ac:dyDescent="0.25">
      <c r="B20" s="7" t="s">
        <v>107</v>
      </c>
      <c r="C20" s="8" t="s">
        <v>17</v>
      </c>
      <c r="D20" s="13" t="s">
        <v>13</v>
      </c>
      <c r="E20" s="14">
        <v>36715</v>
      </c>
      <c r="F20" s="14">
        <v>36743</v>
      </c>
      <c r="G20" s="14">
        <v>36717</v>
      </c>
      <c r="H20" s="13" t="s">
        <v>14</v>
      </c>
      <c r="I20" s="9">
        <v>51000</v>
      </c>
      <c r="J20" s="8" t="s">
        <v>65</v>
      </c>
    </row>
    <row r="21" spans="2:10" ht="22.8" hidden="1" x14ac:dyDescent="0.25">
      <c r="B21" s="7" t="s">
        <v>108</v>
      </c>
      <c r="C21" s="8" t="s">
        <v>18</v>
      </c>
      <c r="D21" s="13" t="s">
        <v>19</v>
      </c>
      <c r="E21" s="14">
        <v>36718</v>
      </c>
      <c r="F21" s="14">
        <v>36746</v>
      </c>
      <c r="G21" s="14">
        <v>36721</v>
      </c>
      <c r="H21" s="13" t="s">
        <v>9</v>
      </c>
      <c r="I21" s="9">
        <v>148000</v>
      </c>
      <c r="J21" s="8" t="s">
        <v>66</v>
      </c>
    </row>
    <row r="22" spans="2:10" ht="22.8" hidden="1" x14ac:dyDescent="0.25">
      <c r="B22" s="7" t="s">
        <v>109</v>
      </c>
      <c r="C22" s="8" t="s">
        <v>20</v>
      </c>
      <c r="D22" s="13" t="s">
        <v>16</v>
      </c>
      <c r="E22" s="14">
        <v>36721</v>
      </c>
      <c r="F22" s="14">
        <v>36749</v>
      </c>
      <c r="G22" s="14">
        <v>36723</v>
      </c>
      <c r="H22" s="13" t="s">
        <v>14</v>
      </c>
      <c r="I22" s="9">
        <v>14000</v>
      </c>
      <c r="J22" s="8" t="s">
        <v>67</v>
      </c>
    </row>
    <row r="23" spans="2:10" ht="22.8" hidden="1" x14ac:dyDescent="0.25">
      <c r="B23" s="7" t="s">
        <v>110</v>
      </c>
      <c r="C23" s="8" t="s">
        <v>30</v>
      </c>
      <c r="D23" s="13" t="s">
        <v>21</v>
      </c>
      <c r="E23" s="14">
        <v>36851</v>
      </c>
      <c r="F23" s="14">
        <v>36879</v>
      </c>
      <c r="G23" s="14">
        <v>36862</v>
      </c>
      <c r="H23" s="13" t="s">
        <v>14</v>
      </c>
      <c r="I23" s="9">
        <v>183000</v>
      </c>
      <c r="J23" s="8" t="s">
        <v>68</v>
      </c>
    </row>
    <row r="24" spans="2:10" ht="22.8" hidden="1" x14ac:dyDescent="0.25">
      <c r="B24" s="24" t="s">
        <v>111</v>
      </c>
      <c r="C24" s="8" t="s">
        <v>48</v>
      </c>
      <c r="D24" s="13" t="s">
        <v>25</v>
      </c>
      <c r="E24" s="14">
        <v>36857</v>
      </c>
      <c r="F24" s="14">
        <v>36899</v>
      </c>
      <c r="G24" s="14">
        <v>36889</v>
      </c>
      <c r="H24" s="13" t="s">
        <v>14</v>
      </c>
      <c r="I24" s="9">
        <v>10000</v>
      </c>
      <c r="J24" s="8" t="s">
        <v>69</v>
      </c>
    </row>
    <row r="25" spans="2:10" ht="22.8" hidden="1" x14ac:dyDescent="0.25">
      <c r="B25" s="24" t="s">
        <v>112</v>
      </c>
      <c r="C25" s="8" t="s">
        <v>29</v>
      </c>
      <c r="D25" s="13" t="s">
        <v>25</v>
      </c>
      <c r="E25" s="14">
        <v>36861</v>
      </c>
      <c r="F25" s="14">
        <v>36889</v>
      </c>
      <c r="G25" s="14">
        <v>36868</v>
      </c>
      <c r="H25" s="13" t="s">
        <v>14</v>
      </c>
      <c r="I25" s="9">
        <v>196000</v>
      </c>
      <c r="J25" s="8" t="s">
        <v>70</v>
      </c>
    </row>
    <row r="26" spans="2:10" ht="22.8" hidden="1" x14ac:dyDescent="0.25">
      <c r="B26" s="7" t="s">
        <v>113</v>
      </c>
      <c r="C26" s="8" t="s">
        <v>49</v>
      </c>
      <c r="D26" s="13" t="s">
        <v>8</v>
      </c>
      <c r="E26" s="14">
        <v>36863</v>
      </c>
      <c r="F26" s="14">
        <v>36891</v>
      </c>
      <c r="G26" s="14">
        <v>36868</v>
      </c>
      <c r="H26" s="13" t="s">
        <v>14</v>
      </c>
      <c r="I26" s="9">
        <v>891000</v>
      </c>
      <c r="J26" s="8" t="s">
        <v>71</v>
      </c>
    </row>
    <row r="27" spans="2:10" ht="23.4" thickTop="1" x14ac:dyDescent="0.25">
      <c r="B27" s="7" t="s">
        <v>114</v>
      </c>
      <c r="C27" s="8" t="s">
        <v>50</v>
      </c>
      <c r="D27" s="13" t="s">
        <v>21</v>
      </c>
      <c r="E27" s="14">
        <v>36864</v>
      </c>
      <c r="F27" s="14">
        <v>36892</v>
      </c>
      <c r="G27" s="14">
        <v>36868</v>
      </c>
      <c r="H27" s="13" t="s">
        <v>9</v>
      </c>
      <c r="I27" s="9">
        <v>4000</v>
      </c>
      <c r="J27" s="8" t="s">
        <v>72</v>
      </c>
    </row>
    <row r="28" spans="2:10" ht="22.8" hidden="1" x14ac:dyDescent="0.25">
      <c r="B28" s="7" t="s">
        <v>115</v>
      </c>
      <c r="C28" s="8" t="s">
        <v>48</v>
      </c>
      <c r="D28" s="13" t="s">
        <v>13</v>
      </c>
      <c r="E28" s="14">
        <v>36917</v>
      </c>
      <c r="F28" s="14">
        <v>36945</v>
      </c>
      <c r="G28" s="14">
        <v>36927</v>
      </c>
      <c r="H28" s="13" t="s">
        <v>12</v>
      </c>
      <c r="I28" s="9">
        <v>19000</v>
      </c>
      <c r="J28" s="8" t="s">
        <v>69</v>
      </c>
    </row>
    <row r="29" spans="2:10" ht="22.8" hidden="1" x14ac:dyDescent="0.25">
      <c r="B29" s="7" t="s">
        <v>116</v>
      </c>
      <c r="C29" s="8" t="s">
        <v>46</v>
      </c>
      <c r="D29" s="13" t="s">
        <v>13</v>
      </c>
      <c r="E29" s="14">
        <v>36917</v>
      </c>
      <c r="F29" s="14">
        <v>36945</v>
      </c>
      <c r="G29" s="14">
        <v>36952</v>
      </c>
      <c r="H29" s="13" t="s">
        <v>14</v>
      </c>
      <c r="I29" s="9">
        <v>31000</v>
      </c>
      <c r="J29" s="8" t="s">
        <v>73</v>
      </c>
    </row>
    <row r="30" spans="2:10" ht="22.8" hidden="1" x14ac:dyDescent="0.25">
      <c r="B30" s="7" t="s">
        <v>117</v>
      </c>
      <c r="C30" s="8" t="s">
        <v>35</v>
      </c>
      <c r="D30" s="13" t="s">
        <v>36</v>
      </c>
      <c r="E30" s="14">
        <v>36918</v>
      </c>
      <c r="F30" s="14">
        <v>36946</v>
      </c>
      <c r="G30" s="14">
        <v>36925</v>
      </c>
      <c r="H30" s="13" t="s">
        <v>12</v>
      </c>
      <c r="I30" s="9">
        <v>11000</v>
      </c>
      <c r="J30" s="8" t="s">
        <v>74</v>
      </c>
    </row>
    <row r="31" spans="2:10" ht="22.8" hidden="1" x14ac:dyDescent="0.25">
      <c r="B31" s="7" t="s">
        <v>118</v>
      </c>
      <c r="C31" s="8" t="s">
        <v>29</v>
      </c>
      <c r="D31" s="13" t="s">
        <v>16</v>
      </c>
      <c r="E31" s="14">
        <v>36921</v>
      </c>
      <c r="F31" s="14">
        <v>36935</v>
      </c>
      <c r="G31" s="14">
        <v>36928</v>
      </c>
      <c r="H31" s="13" t="s">
        <v>14</v>
      </c>
      <c r="I31" s="9">
        <v>4000</v>
      </c>
      <c r="J31" s="8" t="s">
        <v>70</v>
      </c>
    </row>
    <row r="32" spans="2:10" ht="22.8" hidden="1" x14ac:dyDescent="0.25">
      <c r="B32" s="7" t="s">
        <v>119</v>
      </c>
      <c r="C32" s="8" t="s">
        <v>44</v>
      </c>
      <c r="D32" s="13" t="s">
        <v>16</v>
      </c>
      <c r="E32" s="14">
        <v>36924</v>
      </c>
      <c r="F32" s="14">
        <v>36952</v>
      </c>
      <c r="G32" s="14">
        <v>36953</v>
      </c>
      <c r="H32" s="13" t="s">
        <v>9</v>
      </c>
      <c r="I32" s="9">
        <v>74000</v>
      </c>
      <c r="J32" s="8" t="s">
        <v>75</v>
      </c>
    </row>
    <row r="33" spans="2:10" ht="22.8" hidden="1" x14ac:dyDescent="0.25">
      <c r="B33" s="24" t="s">
        <v>120</v>
      </c>
      <c r="C33" s="8" t="s">
        <v>27</v>
      </c>
      <c r="D33" s="13" t="s">
        <v>25</v>
      </c>
      <c r="E33" s="14">
        <v>36926</v>
      </c>
      <c r="F33" s="14">
        <v>36954</v>
      </c>
      <c r="G33" s="14">
        <v>36933</v>
      </c>
      <c r="H33" s="13" t="s">
        <v>12</v>
      </c>
      <c r="I33" s="9">
        <v>20000</v>
      </c>
      <c r="J33" s="8" t="s">
        <v>76</v>
      </c>
    </row>
    <row r="34" spans="2:10" ht="22.8" hidden="1" x14ac:dyDescent="0.25">
      <c r="B34" s="7" t="s">
        <v>121</v>
      </c>
      <c r="C34" s="8" t="s">
        <v>10</v>
      </c>
      <c r="D34" s="13" t="s">
        <v>16</v>
      </c>
      <c r="E34" s="14">
        <v>36927</v>
      </c>
      <c r="F34" s="14">
        <v>36955</v>
      </c>
      <c r="G34" s="14">
        <v>36935</v>
      </c>
      <c r="H34" s="13" t="s">
        <v>14</v>
      </c>
      <c r="I34" s="9">
        <v>8000</v>
      </c>
      <c r="J34" s="8" t="s">
        <v>63</v>
      </c>
    </row>
    <row r="35" spans="2:10" ht="22.8" hidden="1" x14ac:dyDescent="0.25">
      <c r="B35" s="7" t="s">
        <v>122</v>
      </c>
      <c r="C35" s="8" t="s">
        <v>43</v>
      </c>
      <c r="D35" s="13" t="s">
        <v>13</v>
      </c>
      <c r="E35" s="14">
        <v>36931</v>
      </c>
      <c r="F35" s="14">
        <v>36959</v>
      </c>
      <c r="G35" s="14">
        <v>36949</v>
      </c>
      <c r="H35" s="13" t="s">
        <v>14</v>
      </c>
      <c r="I35" s="9">
        <v>87000</v>
      </c>
      <c r="J35" s="8" t="s">
        <v>77</v>
      </c>
    </row>
    <row r="36" spans="2:10" ht="22.8" hidden="1" x14ac:dyDescent="0.25">
      <c r="B36" s="7" t="s">
        <v>123</v>
      </c>
      <c r="C36" s="8" t="s">
        <v>40</v>
      </c>
      <c r="D36" s="13" t="s">
        <v>16</v>
      </c>
      <c r="E36" s="14">
        <v>36931</v>
      </c>
      <c r="F36" s="14">
        <v>36973</v>
      </c>
      <c r="G36" s="14">
        <v>36963</v>
      </c>
      <c r="H36" s="13" t="s">
        <v>14</v>
      </c>
      <c r="I36" s="9">
        <v>73000</v>
      </c>
      <c r="J36" s="8" t="s">
        <v>78</v>
      </c>
    </row>
    <row r="37" spans="2:10" ht="22.8" hidden="1" x14ac:dyDescent="0.25">
      <c r="B37" s="24" t="s">
        <v>124</v>
      </c>
      <c r="C37" s="8" t="s">
        <v>35</v>
      </c>
      <c r="D37" s="13" t="s">
        <v>25</v>
      </c>
      <c r="E37" s="14">
        <v>36933</v>
      </c>
      <c r="F37" s="14">
        <v>36961</v>
      </c>
      <c r="G37" s="14">
        <v>36935</v>
      </c>
      <c r="H37" s="13" t="s">
        <v>12</v>
      </c>
      <c r="I37" s="9">
        <v>14000</v>
      </c>
      <c r="J37" s="8" t="s">
        <v>74</v>
      </c>
    </row>
    <row r="38" spans="2:10" ht="22.8" hidden="1" x14ac:dyDescent="0.25">
      <c r="B38" s="7" t="s">
        <v>125</v>
      </c>
      <c r="C38" s="8" t="s">
        <v>10</v>
      </c>
      <c r="D38" s="13" t="s">
        <v>11</v>
      </c>
      <c r="E38" s="14">
        <v>36935</v>
      </c>
      <c r="F38" s="14">
        <v>36963</v>
      </c>
      <c r="G38" s="14">
        <v>36940</v>
      </c>
      <c r="H38" s="13" t="s">
        <v>12</v>
      </c>
      <c r="I38" s="9">
        <v>15000</v>
      </c>
      <c r="J38" s="8" t="s">
        <v>63</v>
      </c>
    </row>
    <row r="39" spans="2:10" ht="22.8" hidden="1" x14ac:dyDescent="0.25">
      <c r="B39" s="7" t="s">
        <v>126</v>
      </c>
      <c r="C39" s="8" t="s">
        <v>34</v>
      </c>
      <c r="D39" s="13" t="s">
        <v>13</v>
      </c>
      <c r="E39" s="14">
        <v>36935</v>
      </c>
      <c r="F39" s="14">
        <v>36963</v>
      </c>
      <c r="G39" s="14">
        <v>36956</v>
      </c>
      <c r="H39" s="13" t="s">
        <v>14</v>
      </c>
      <c r="I39" s="9">
        <v>69000</v>
      </c>
      <c r="J39" s="8" t="s">
        <v>79</v>
      </c>
    </row>
    <row r="40" spans="2:10" ht="22.8" hidden="1" x14ac:dyDescent="0.25">
      <c r="B40" s="7" t="s">
        <v>127</v>
      </c>
      <c r="C40" s="8" t="s">
        <v>54</v>
      </c>
      <c r="D40" s="13" t="s">
        <v>13</v>
      </c>
      <c r="E40" s="14">
        <v>36938</v>
      </c>
      <c r="F40" s="14">
        <v>36966</v>
      </c>
      <c r="G40" s="14">
        <v>36945</v>
      </c>
      <c r="H40" s="13" t="s">
        <v>14</v>
      </c>
      <c r="I40" s="9">
        <v>38000</v>
      </c>
      <c r="J40" s="8" t="s">
        <v>80</v>
      </c>
    </row>
    <row r="41" spans="2:10" ht="22.8" hidden="1" x14ac:dyDescent="0.25">
      <c r="B41" s="24" t="s">
        <v>128</v>
      </c>
      <c r="C41" s="8" t="s">
        <v>15</v>
      </c>
      <c r="D41" s="13" t="s">
        <v>25</v>
      </c>
      <c r="E41" s="14">
        <v>36940</v>
      </c>
      <c r="F41" s="14">
        <v>36968</v>
      </c>
      <c r="G41" s="14">
        <v>36960</v>
      </c>
      <c r="H41" s="13" t="s">
        <v>14</v>
      </c>
      <c r="I41" s="9">
        <v>7000</v>
      </c>
      <c r="J41" s="8" t="s">
        <v>64</v>
      </c>
    </row>
    <row r="42" spans="2:10" ht="22.8" hidden="1" x14ac:dyDescent="0.25">
      <c r="B42" s="7" t="s">
        <v>129</v>
      </c>
      <c r="C42" s="8" t="s">
        <v>30</v>
      </c>
      <c r="D42" s="13" t="s">
        <v>13</v>
      </c>
      <c r="E42" s="14">
        <v>36940</v>
      </c>
      <c r="F42" s="14">
        <v>36954</v>
      </c>
      <c r="G42" s="14">
        <v>36961</v>
      </c>
      <c r="H42" s="13" t="s">
        <v>9</v>
      </c>
      <c r="I42" s="9">
        <v>189000</v>
      </c>
      <c r="J42" s="8" t="s">
        <v>68</v>
      </c>
    </row>
    <row r="43" spans="2:10" ht="22.8" hidden="1" x14ac:dyDescent="0.25">
      <c r="B43" s="24" t="s">
        <v>130</v>
      </c>
      <c r="C43" s="8" t="s">
        <v>43</v>
      </c>
      <c r="D43" s="13" t="s">
        <v>25</v>
      </c>
      <c r="E43" s="14">
        <v>36941</v>
      </c>
      <c r="F43" s="14">
        <v>36969</v>
      </c>
      <c r="G43" s="14">
        <v>36947</v>
      </c>
      <c r="H43" s="13" t="s">
        <v>12</v>
      </c>
      <c r="I43" s="9">
        <v>140000</v>
      </c>
      <c r="J43" s="8" t="s">
        <v>77</v>
      </c>
    </row>
    <row r="44" spans="2:10" ht="22.8" hidden="1" x14ac:dyDescent="0.25">
      <c r="B44" s="24" t="s">
        <v>131</v>
      </c>
      <c r="C44" s="8" t="s">
        <v>27</v>
      </c>
      <c r="D44" s="13" t="s">
        <v>25</v>
      </c>
      <c r="E44" s="14">
        <v>36945</v>
      </c>
      <c r="F44" s="14">
        <v>36987</v>
      </c>
      <c r="G44" s="14">
        <v>36952</v>
      </c>
      <c r="H44" s="13" t="s">
        <v>14</v>
      </c>
      <c r="I44" s="9">
        <v>180000</v>
      </c>
      <c r="J44" s="8" t="s">
        <v>76</v>
      </c>
    </row>
    <row r="45" spans="2:10" ht="22.8" hidden="1" x14ac:dyDescent="0.25">
      <c r="B45" s="7" t="s">
        <v>132</v>
      </c>
      <c r="C45" s="8" t="s">
        <v>17</v>
      </c>
      <c r="D45" s="13" t="s">
        <v>36</v>
      </c>
      <c r="E45" s="14">
        <v>36947</v>
      </c>
      <c r="F45" s="14">
        <v>36975</v>
      </c>
      <c r="G45" s="14">
        <v>36953</v>
      </c>
      <c r="H45" s="13" t="s">
        <v>9</v>
      </c>
      <c r="I45" s="9">
        <v>147000</v>
      </c>
      <c r="J45" s="8" t="s">
        <v>65</v>
      </c>
    </row>
    <row r="46" spans="2:10" ht="22.8" hidden="1" x14ac:dyDescent="0.25">
      <c r="B46" s="7" t="s">
        <v>133</v>
      </c>
      <c r="C46" s="8" t="s">
        <v>15</v>
      </c>
      <c r="D46" s="13" t="s">
        <v>13</v>
      </c>
      <c r="E46" s="14">
        <v>36948</v>
      </c>
      <c r="F46" s="14">
        <v>36976</v>
      </c>
      <c r="G46" s="14">
        <v>36949</v>
      </c>
      <c r="H46" s="13" t="s">
        <v>14</v>
      </c>
      <c r="I46" s="9">
        <v>25000</v>
      </c>
      <c r="J46" s="8" t="s">
        <v>64</v>
      </c>
    </row>
    <row r="47" spans="2:10" ht="22.8" hidden="1" x14ac:dyDescent="0.25">
      <c r="B47" s="7" t="s">
        <v>134</v>
      </c>
      <c r="C47" s="8" t="s">
        <v>17</v>
      </c>
      <c r="D47" s="13" t="s">
        <v>8</v>
      </c>
      <c r="E47" s="14">
        <v>36953</v>
      </c>
      <c r="F47" s="14">
        <v>36981</v>
      </c>
      <c r="G47" s="14">
        <v>36955</v>
      </c>
      <c r="H47" s="13" t="s">
        <v>9</v>
      </c>
      <c r="I47" s="9">
        <v>15000</v>
      </c>
      <c r="J47" s="8" t="s">
        <v>65</v>
      </c>
    </row>
    <row r="48" spans="2:10" ht="22.8" hidden="1" x14ac:dyDescent="0.25">
      <c r="B48" s="7" t="s">
        <v>135</v>
      </c>
      <c r="C48" s="8" t="s">
        <v>28</v>
      </c>
      <c r="D48" s="13" t="s">
        <v>21</v>
      </c>
      <c r="E48" s="14">
        <v>36959</v>
      </c>
      <c r="F48" s="14">
        <v>36987</v>
      </c>
      <c r="G48" s="14">
        <v>36963</v>
      </c>
      <c r="H48" s="13" t="s">
        <v>12</v>
      </c>
      <c r="I48" s="9">
        <v>60000</v>
      </c>
      <c r="J48" s="8" t="s">
        <v>81</v>
      </c>
    </row>
    <row r="49" spans="2:10" ht="22.8" hidden="1" x14ac:dyDescent="0.25">
      <c r="B49" s="24" t="s">
        <v>136</v>
      </c>
      <c r="C49" s="8" t="s">
        <v>47</v>
      </c>
      <c r="D49" s="13" t="s">
        <v>25</v>
      </c>
      <c r="E49" s="14">
        <v>36961</v>
      </c>
      <c r="F49" s="14">
        <v>36989</v>
      </c>
      <c r="G49" s="14">
        <v>36968</v>
      </c>
      <c r="H49" s="13" t="s">
        <v>12</v>
      </c>
      <c r="I49" s="9">
        <v>4000</v>
      </c>
      <c r="J49" s="8" t="s">
        <v>82</v>
      </c>
    </row>
    <row r="50" spans="2:10" ht="22.8" hidden="1" x14ac:dyDescent="0.25">
      <c r="B50" s="7" t="s">
        <v>137</v>
      </c>
      <c r="C50" s="8" t="s">
        <v>42</v>
      </c>
      <c r="D50" s="13" t="s">
        <v>8</v>
      </c>
      <c r="E50" s="14">
        <v>36962</v>
      </c>
      <c r="F50" s="14">
        <v>36990</v>
      </c>
      <c r="G50" s="14">
        <v>36970</v>
      </c>
      <c r="H50" s="13" t="s">
        <v>14</v>
      </c>
      <c r="I50" s="9">
        <v>83000</v>
      </c>
      <c r="J50" s="8" t="s">
        <v>83</v>
      </c>
    </row>
    <row r="51" spans="2:10" ht="22.8" hidden="1" x14ac:dyDescent="0.25">
      <c r="B51" s="7" t="s">
        <v>138</v>
      </c>
      <c r="C51" s="8" t="s">
        <v>17</v>
      </c>
      <c r="D51" s="13" t="s">
        <v>19</v>
      </c>
      <c r="E51" s="14">
        <v>36963</v>
      </c>
      <c r="F51" s="14">
        <v>36991</v>
      </c>
      <c r="G51" s="14">
        <v>36984</v>
      </c>
      <c r="H51" s="13" t="s">
        <v>12</v>
      </c>
      <c r="I51" s="9">
        <v>69000</v>
      </c>
      <c r="J51" s="8" t="s">
        <v>65</v>
      </c>
    </row>
    <row r="52" spans="2:10" ht="22.8" hidden="1" x14ac:dyDescent="0.25">
      <c r="B52" s="7" t="s">
        <v>139</v>
      </c>
      <c r="C52" s="8" t="s">
        <v>44</v>
      </c>
      <c r="D52" s="13" t="s">
        <v>8</v>
      </c>
      <c r="E52" s="14">
        <v>36966</v>
      </c>
      <c r="F52" s="14">
        <v>36994</v>
      </c>
      <c r="G52" s="14">
        <v>36974</v>
      </c>
      <c r="H52" s="13" t="s">
        <v>14</v>
      </c>
      <c r="I52" s="9">
        <v>13000</v>
      </c>
      <c r="J52" s="8" t="s">
        <v>75</v>
      </c>
    </row>
    <row r="53" spans="2:10" ht="22.8" hidden="1" x14ac:dyDescent="0.25">
      <c r="B53" s="7" t="s">
        <v>140</v>
      </c>
      <c r="C53" s="8" t="s">
        <v>15</v>
      </c>
      <c r="D53" s="13" t="s">
        <v>26</v>
      </c>
      <c r="E53" s="14">
        <v>36967</v>
      </c>
      <c r="F53" s="14">
        <v>36981</v>
      </c>
      <c r="G53" s="14">
        <v>36975</v>
      </c>
      <c r="H53" s="13" t="s">
        <v>9</v>
      </c>
      <c r="I53" s="9">
        <v>5000</v>
      </c>
      <c r="J53" s="8" t="s">
        <v>64</v>
      </c>
    </row>
    <row r="54" spans="2:10" ht="22.8" hidden="1" x14ac:dyDescent="0.25">
      <c r="B54" s="7" t="s">
        <v>141</v>
      </c>
      <c r="C54" s="8" t="s">
        <v>24</v>
      </c>
      <c r="D54" s="13" t="s">
        <v>16</v>
      </c>
      <c r="E54" s="14">
        <v>36968</v>
      </c>
      <c r="F54" s="14">
        <v>36996</v>
      </c>
      <c r="G54" s="14">
        <v>36970</v>
      </c>
      <c r="H54" s="13" t="s">
        <v>9</v>
      </c>
      <c r="I54" s="9">
        <v>709000</v>
      </c>
      <c r="J54" s="8" t="s">
        <v>84</v>
      </c>
    </row>
    <row r="55" spans="2:10" ht="22.8" hidden="1" x14ac:dyDescent="0.25">
      <c r="B55" s="24" t="s">
        <v>142</v>
      </c>
      <c r="C55" s="8" t="s">
        <v>34</v>
      </c>
      <c r="D55" s="13" t="s">
        <v>25</v>
      </c>
      <c r="E55" s="14">
        <v>36969</v>
      </c>
      <c r="F55" s="14">
        <v>36997</v>
      </c>
      <c r="G55" s="14">
        <v>36974</v>
      </c>
      <c r="H55" s="13" t="s">
        <v>14</v>
      </c>
      <c r="I55" s="9">
        <v>64000</v>
      </c>
      <c r="J55" s="8" t="s">
        <v>79</v>
      </c>
    </row>
    <row r="56" spans="2:10" ht="22.8" hidden="1" x14ac:dyDescent="0.25">
      <c r="B56" s="7" t="s">
        <v>143</v>
      </c>
      <c r="C56" s="8" t="s">
        <v>28</v>
      </c>
      <c r="D56" s="13" t="s">
        <v>36</v>
      </c>
      <c r="E56" s="14">
        <v>36973</v>
      </c>
      <c r="F56" s="14">
        <v>37001</v>
      </c>
      <c r="G56" s="14">
        <v>37005</v>
      </c>
      <c r="H56" s="13" t="s">
        <v>14</v>
      </c>
      <c r="I56" s="9">
        <v>15000</v>
      </c>
      <c r="J56" s="8" t="s">
        <v>81</v>
      </c>
    </row>
    <row r="57" spans="2:10" ht="22.8" hidden="1" x14ac:dyDescent="0.25">
      <c r="B57" s="7" t="s">
        <v>144</v>
      </c>
      <c r="C57" s="8" t="s">
        <v>49</v>
      </c>
      <c r="D57" s="13" t="s">
        <v>26</v>
      </c>
      <c r="E57" s="14">
        <v>36975</v>
      </c>
      <c r="F57" s="14">
        <v>37003</v>
      </c>
      <c r="G57" s="14">
        <v>36977</v>
      </c>
      <c r="H57" s="13" t="s">
        <v>14</v>
      </c>
      <c r="I57" s="9">
        <v>71000</v>
      </c>
      <c r="J57" s="8" t="s">
        <v>71</v>
      </c>
    </row>
    <row r="58" spans="2:10" ht="22.8" hidden="1" x14ac:dyDescent="0.25">
      <c r="B58" s="7" t="s">
        <v>145</v>
      </c>
      <c r="C58" s="8" t="s">
        <v>46</v>
      </c>
      <c r="D58" s="13" t="s">
        <v>11</v>
      </c>
      <c r="E58" s="14">
        <v>36977</v>
      </c>
      <c r="F58" s="14">
        <v>37005</v>
      </c>
      <c r="G58" s="14">
        <v>36989</v>
      </c>
      <c r="H58" s="13" t="s">
        <v>14</v>
      </c>
      <c r="I58" s="9">
        <v>5000</v>
      </c>
      <c r="J58" s="8" t="s">
        <v>73</v>
      </c>
    </row>
    <row r="59" spans="2:10" ht="22.8" hidden="1" x14ac:dyDescent="0.25">
      <c r="B59" s="7" t="s">
        <v>146</v>
      </c>
      <c r="C59" s="8" t="s">
        <v>37</v>
      </c>
      <c r="D59" s="13" t="s">
        <v>36</v>
      </c>
      <c r="E59" s="14">
        <v>36984</v>
      </c>
      <c r="F59" s="14">
        <v>37012</v>
      </c>
      <c r="G59" s="14">
        <v>36987</v>
      </c>
      <c r="H59" s="13" t="s">
        <v>14</v>
      </c>
      <c r="I59" s="9">
        <v>47000</v>
      </c>
      <c r="J59" s="8" t="s">
        <v>85</v>
      </c>
    </row>
    <row r="60" spans="2:10" ht="22.8" hidden="1" x14ac:dyDescent="0.25">
      <c r="B60" s="7" t="s">
        <v>147</v>
      </c>
      <c r="C60" s="8" t="s">
        <v>42</v>
      </c>
      <c r="D60" s="13" t="s">
        <v>26</v>
      </c>
      <c r="E60" s="14">
        <v>36990</v>
      </c>
      <c r="F60" s="14">
        <v>37018</v>
      </c>
      <c r="G60" s="14">
        <v>37009</v>
      </c>
      <c r="H60" s="13" t="s">
        <v>12</v>
      </c>
      <c r="I60" s="9">
        <v>69000</v>
      </c>
      <c r="J60" s="8" t="s">
        <v>83</v>
      </c>
    </row>
    <row r="61" spans="2:10" ht="22.8" hidden="1" x14ac:dyDescent="0.25">
      <c r="B61" s="7" t="s">
        <v>148</v>
      </c>
      <c r="C61" s="8" t="s">
        <v>28</v>
      </c>
      <c r="D61" s="13" t="s">
        <v>13</v>
      </c>
      <c r="E61" s="14">
        <v>36991</v>
      </c>
      <c r="F61" s="14">
        <v>37019</v>
      </c>
      <c r="G61" s="14">
        <v>36998</v>
      </c>
      <c r="H61" s="13" t="s">
        <v>9</v>
      </c>
      <c r="I61" s="9">
        <v>59000</v>
      </c>
      <c r="J61" s="8" t="s">
        <v>81</v>
      </c>
    </row>
    <row r="62" spans="2:10" ht="22.8" hidden="1" x14ac:dyDescent="0.25">
      <c r="B62" s="7" t="s">
        <v>149</v>
      </c>
      <c r="C62" s="8" t="s">
        <v>22</v>
      </c>
      <c r="D62" s="13" t="s">
        <v>21</v>
      </c>
      <c r="E62" s="14">
        <v>36996</v>
      </c>
      <c r="F62" s="14">
        <v>37024</v>
      </c>
      <c r="G62" s="14">
        <v>37023</v>
      </c>
      <c r="H62" s="13" t="s">
        <v>14</v>
      </c>
      <c r="I62" s="9">
        <v>5000</v>
      </c>
      <c r="J62" s="8" t="s">
        <v>86</v>
      </c>
    </row>
    <row r="63" spans="2:10" ht="22.8" hidden="1" x14ac:dyDescent="0.25">
      <c r="B63" s="7" t="s">
        <v>150</v>
      </c>
      <c r="C63" s="8" t="s">
        <v>43</v>
      </c>
      <c r="D63" s="13" t="s">
        <v>11</v>
      </c>
      <c r="E63" s="14">
        <v>36998</v>
      </c>
      <c r="F63" s="14">
        <v>37026</v>
      </c>
      <c r="G63" s="14">
        <v>37008</v>
      </c>
      <c r="H63" s="13" t="s">
        <v>9</v>
      </c>
      <c r="I63" s="9">
        <v>368000</v>
      </c>
      <c r="J63" s="8" t="s">
        <v>77</v>
      </c>
    </row>
    <row r="64" spans="2:10" ht="22.8" hidden="1" x14ac:dyDescent="0.25">
      <c r="B64" s="7" t="s">
        <v>151</v>
      </c>
      <c r="C64" s="8" t="s">
        <v>38</v>
      </c>
      <c r="D64" s="13" t="s">
        <v>36</v>
      </c>
      <c r="E64" s="14">
        <v>37002</v>
      </c>
      <c r="F64" s="14">
        <v>37044</v>
      </c>
      <c r="G64" s="14">
        <v>37008</v>
      </c>
      <c r="H64" s="13" t="s">
        <v>12</v>
      </c>
      <c r="I64" s="9">
        <v>106000</v>
      </c>
      <c r="J64" s="8" t="s">
        <v>87</v>
      </c>
    </row>
    <row r="65" spans="2:10" ht="22.8" hidden="1" x14ac:dyDescent="0.25">
      <c r="B65" s="7" t="s">
        <v>152</v>
      </c>
      <c r="C65" s="8" t="s">
        <v>30</v>
      </c>
      <c r="D65" s="13" t="s">
        <v>26</v>
      </c>
      <c r="E65" s="14">
        <v>37003</v>
      </c>
      <c r="F65" s="14">
        <v>37017</v>
      </c>
      <c r="G65" s="14">
        <v>37033</v>
      </c>
      <c r="H65" s="13" t="s">
        <v>12</v>
      </c>
      <c r="I65" s="9">
        <v>204000</v>
      </c>
      <c r="J65" s="8" t="s">
        <v>68</v>
      </c>
    </row>
    <row r="66" spans="2:10" ht="22.8" hidden="1" x14ac:dyDescent="0.25">
      <c r="B66" s="7" t="s">
        <v>153</v>
      </c>
      <c r="C66" s="8" t="s">
        <v>31</v>
      </c>
      <c r="D66" s="13" t="s">
        <v>13</v>
      </c>
      <c r="E66" s="14">
        <v>37005</v>
      </c>
      <c r="F66" s="14">
        <v>37019</v>
      </c>
      <c r="G66" s="14">
        <v>37015</v>
      </c>
      <c r="H66" s="13" t="s">
        <v>14</v>
      </c>
      <c r="I66" s="9">
        <v>218000</v>
      </c>
      <c r="J66" s="8" t="s">
        <v>88</v>
      </c>
    </row>
    <row r="67" spans="2:10" ht="22.8" hidden="1" x14ac:dyDescent="0.25">
      <c r="B67" s="7" t="s">
        <v>154</v>
      </c>
      <c r="C67" s="8" t="s">
        <v>51</v>
      </c>
      <c r="D67" s="13" t="s">
        <v>36</v>
      </c>
      <c r="E67" s="14">
        <v>37009</v>
      </c>
      <c r="F67" s="14">
        <v>37037</v>
      </c>
      <c r="G67" s="14">
        <v>37011</v>
      </c>
      <c r="H67" s="13" t="s">
        <v>12</v>
      </c>
      <c r="I67" s="9">
        <v>13000</v>
      </c>
      <c r="J67" s="8" t="s">
        <v>89</v>
      </c>
    </row>
    <row r="68" spans="2:10" ht="22.8" hidden="1" x14ac:dyDescent="0.25">
      <c r="B68" s="7" t="s">
        <v>155</v>
      </c>
      <c r="C68" s="8" t="s">
        <v>47</v>
      </c>
      <c r="D68" s="13" t="s">
        <v>36</v>
      </c>
      <c r="E68" s="14">
        <v>37011</v>
      </c>
      <c r="F68" s="14">
        <v>37039</v>
      </c>
      <c r="G68" s="14">
        <v>37040</v>
      </c>
      <c r="H68" s="13" t="s">
        <v>14</v>
      </c>
      <c r="I68" s="9">
        <v>78000</v>
      </c>
      <c r="J68" s="8" t="s">
        <v>82</v>
      </c>
    </row>
    <row r="69" spans="2:10" ht="22.8" hidden="1" x14ac:dyDescent="0.25">
      <c r="B69" s="7" t="s">
        <v>156</v>
      </c>
      <c r="C69" s="8" t="s">
        <v>27</v>
      </c>
      <c r="D69" s="13" t="s">
        <v>13</v>
      </c>
      <c r="E69" s="14">
        <v>37015</v>
      </c>
      <c r="F69" s="14">
        <v>37043</v>
      </c>
      <c r="G69" s="14">
        <v>37025</v>
      </c>
      <c r="H69" s="13" t="s">
        <v>14</v>
      </c>
      <c r="I69" s="9">
        <v>59000</v>
      </c>
      <c r="J69" s="8" t="s">
        <v>76</v>
      </c>
    </row>
    <row r="70" spans="2:10" ht="22.8" hidden="1" x14ac:dyDescent="0.25">
      <c r="B70" s="7" t="s">
        <v>157</v>
      </c>
      <c r="C70" s="8" t="s">
        <v>30</v>
      </c>
      <c r="D70" s="13" t="s">
        <v>36</v>
      </c>
      <c r="E70" s="14">
        <v>37015</v>
      </c>
      <c r="F70" s="14">
        <v>37043</v>
      </c>
      <c r="G70" s="14">
        <v>37017</v>
      </c>
      <c r="H70" s="13" t="s">
        <v>12</v>
      </c>
      <c r="I70" s="9">
        <v>42000</v>
      </c>
      <c r="J70" s="8" t="s">
        <v>68</v>
      </c>
    </row>
    <row r="71" spans="2:10" ht="22.8" hidden="1" x14ac:dyDescent="0.25">
      <c r="B71" s="7" t="s">
        <v>158</v>
      </c>
      <c r="C71" s="8" t="s">
        <v>55</v>
      </c>
      <c r="D71" s="13" t="s">
        <v>11</v>
      </c>
      <c r="E71" s="14">
        <v>37016</v>
      </c>
      <c r="F71" s="14">
        <v>37030</v>
      </c>
      <c r="G71" s="14">
        <v>37019</v>
      </c>
      <c r="H71" s="13" t="s">
        <v>14</v>
      </c>
      <c r="I71" s="9">
        <v>3000</v>
      </c>
      <c r="J71" s="8" t="s">
        <v>90</v>
      </c>
    </row>
    <row r="72" spans="2:10" ht="22.8" hidden="1" x14ac:dyDescent="0.25">
      <c r="B72" s="7" t="s">
        <v>159</v>
      </c>
      <c r="C72" s="8" t="s">
        <v>46</v>
      </c>
      <c r="D72" s="13" t="s">
        <v>16</v>
      </c>
      <c r="E72" s="14">
        <v>37018</v>
      </c>
      <c r="F72" s="14">
        <v>37046</v>
      </c>
      <c r="G72" s="14">
        <v>37022</v>
      </c>
      <c r="H72" s="13" t="s">
        <v>14</v>
      </c>
      <c r="I72" s="9">
        <v>339000</v>
      </c>
      <c r="J72" s="8" t="s">
        <v>73</v>
      </c>
    </row>
    <row r="73" spans="2:10" ht="22.8" hidden="1" x14ac:dyDescent="0.25">
      <c r="B73" s="7" t="s">
        <v>160</v>
      </c>
      <c r="C73" s="8" t="s">
        <v>52</v>
      </c>
      <c r="D73" s="13" t="s">
        <v>36</v>
      </c>
      <c r="E73" s="14">
        <v>37018</v>
      </c>
      <c r="F73" s="14">
        <v>37046</v>
      </c>
      <c r="G73" s="14">
        <v>37029</v>
      </c>
      <c r="H73" s="13" t="s">
        <v>12</v>
      </c>
      <c r="I73" s="9">
        <v>8000</v>
      </c>
      <c r="J73" s="8" t="s">
        <v>91</v>
      </c>
    </row>
    <row r="74" spans="2:10" ht="22.8" hidden="1" x14ac:dyDescent="0.25">
      <c r="B74" s="7" t="s">
        <v>161</v>
      </c>
      <c r="C74" s="8" t="s">
        <v>18</v>
      </c>
      <c r="D74" s="13" t="s">
        <v>21</v>
      </c>
      <c r="E74" s="14">
        <v>37024</v>
      </c>
      <c r="F74" s="14">
        <v>37038</v>
      </c>
      <c r="G74" s="14">
        <v>37029</v>
      </c>
      <c r="H74" s="13" t="s">
        <v>12</v>
      </c>
      <c r="I74" s="9">
        <v>79000</v>
      </c>
      <c r="J74" s="8" t="s">
        <v>66</v>
      </c>
    </row>
    <row r="75" spans="2:10" ht="22.8" hidden="1" x14ac:dyDescent="0.25">
      <c r="B75" s="7" t="s">
        <v>162</v>
      </c>
      <c r="C75" s="8" t="s">
        <v>30</v>
      </c>
      <c r="D75" s="13" t="s">
        <v>16</v>
      </c>
      <c r="E75" s="14">
        <v>37029</v>
      </c>
      <c r="F75" s="14">
        <v>37057</v>
      </c>
      <c r="G75" s="14">
        <v>37054</v>
      </c>
      <c r="H75" s="13" t="s">
        <v>9</v>
      </c>
      <c r="I75" s="9">
        <v>1008000</v>
      </c>
      <c r="J75" s="8" t="s">
        <v>68</v>
      </c>
    </row>
    <row r="76" spans="2:10" ht="22.8" x14ac:dyDescent="0.25">
      <c r="B76" s="7" t="s">
        <v>163</v>
      </c>
      <c r="C76" s="8" t="s">
        <v>15</v>
      </c>
      <c r="D76" s="13" t="s">
        <v>21</v>
      </c>
      <c r="E76" s="14">
        <v>37033</v>
      </c>
      <c r="F76" s="14">
        <v>37061</v>
      </c>
      <c r="G76" s="14">
        <v>37037</v>
      </c>
      <c r="H76" s="13" t="s">
        <v>9</v>
      </c>
      <c r="I76" s="9">
        <v>195000</v>
      </c>
      <c r="J76" s="8" t="s">
        <v>64</v>
      </c>
    </row>
    <row r="77" spans="2:10" ht="22.8" hidden="1" x14ac:dyDescent="0.25">
      <c r="B77" s="7" t="s">
        <v>164</v>
      </c>
      <c r="C77" s="8" t="s">
        <v>47</v>
      </c>
      <c r="D77" s="13" t="s">
        <v>16</v>
      </c>
      <c r="E77" s="14">
        <v>37033</v>
      </c>
      <c r="F77" s="14">
        <v>37061</v>
      </c>
      <c r="G77" s="14">
        <v>37043</v>
      </c>
      <c r="H77" s="13" t="s">
        <v>14</v>
      </c>
      <c r="I77" s="9">
        <v>178000</v>
      </c>
      <c r="J77" s="8" t="s">
        <v>82</v>
      </c>
    </row>
    <row r="78" spans="2:10" ht="22.8" hidden="1" x14ac:dyDescent="0.25">
      <c r="B78" s="7" t="s">
        <v>165</v>
      </c>
      <c r="C78" s="8" t="s">
        <v>10</v>
      </c>
      <c r="D78" s="13" t="s">
        <v>16</v>
      </c>
      <c r="E78" s="14">
        <v>37036</v>
      </c>
      <c r="F78" s="14">
        <v>37064</v>
      </c>
      <c r="G78" s="14">
        <v>37043</v>
      </c>
      <c r="H78" s="13" t="s">
        <v>14</v>
      </c>
      <c r="I78" s="9">
        <v>1000</v>
      </c>
      <c r="J78" s="8" t="s">
        <v>63</v>
      </c>
    </row>
    <row r="79" spans="2:10" ht="22.8" hidden="1" x14ac:dyDescent="0.25">
      <c r="B79" s="7" t="s">
        <v>166</v>
      </c>
      <c r="C79" s="8" t="s">
        <v>30</v>
      </c>
      <c r="D79" s="13" t="s">
        <v>8</v>
      </c>
      <c r="E79" s="14">
        <v>37037</v>
      </c>
      <c r="F79" s="14">
        <v>37051</v>
      </c>
      <c r="G79" s="14">
        <v>37040</v>
      </c>
      <c r="H79" s="13" t="s">
        <v>12</v>
      </c>
      <c r="I79" s="9">
        <v>171000</v>
      </c>
      <c r="J79" s="8" t="s">
        <v>68</v>
      </c>
    </row>
    <row r="80" spans="2:10" ht="22.8" hidden="1" x14ac:dyDescent="0.25">
      <c r="B80" s="7" t="s">
        <v>167</v>
      </c>
      <c r="C80" s="8" t="s">
        <v>39</v>
      </c>
      <c r="D80" s="13" t="s">
        <v>36</v>
      </c>
      <c r="E80" s="14">
        <v>37038</v>
      </c>
      <c r="F80" s="14">
        <v>37066</v>
      </c>
      <c r="G80" s="14">
        <v>37047</v>
      </c>
      <c r="H80" s="13" t="s">
        <v>9</v>
      </c>
      <c r="I80" s="9">
        <v>4000</v>
      </c>
      <c r="J80" s="8" t="s">
        <v>92</v>
      </c>
    </row>
    <row r="81" spans="2:10" ht="22.8" hidden="1" x14ac:dyDescent="0.25">
      <c r="B81" s="7" t="s">
        <v>168</v>
      </c>
      <c r="C81" s="8" t="s">
        <v>27</v>
      </c>
      <c r="D81" s="13" t="s">
        <v>26</v>
      </c>
      <c r="E81" s="14">
        <v>37040</v>
      </c>
      <c r="F81" s="14">
        <v>37068</v>
      </c>
      <c r="G81" s="14">
        <v>37044</v>
      </c>
      <c r="H81" s="13" t="s">
        <v>14</v>
      </c>
      <c r="I81" s="9">
        <v>149000</v>
      </c>
      <c r="J81" s="8" t="s">
        <v>76</v>
      </c>
    </row>
    <row r="82" spans="2:10" ht="22.8" hidden="1" x14ac:dyDescent="0.25">
      <c r="B82" s="7" t="s">
        <v>169</v>
      </c>
      <c r="C82" s="8" t="s">
        <v>22</v>
      </c>
      <c r="D82" s="13" t="s">
        <v>13</v>
      </c>
      <c r="E82" s="14">
        <v>37040</v>
      </c>
      <c r="F82" s="14">
        <v>37068</v>
      </c>
      <c r="G82" s="14">
        <v>37046</v>
      </c>
      <c r="H82" s="13" t="s">
        <v>9</v>
      </c>
      <c r="I82" s="9">
        <v>121000</v>
      </c>
      <c r="J82" s="8" t="s">
        <v>86</v>
      </c>
    </row>
    <row r="83" spans="2:10" ht="22.8" hidden="1" x14ac:dyDescent="0.25">
      <c r="B83" s="7" t="s">
        <v>170</v>
      </c>
      <c r="C83" s="8" t="s">
        <v>43</v>
      </c>
      <c r="D83" s="13" t="s">
        <v>11</v>
      </c>
      <c r="E83" s="14">
        <v>37043</v>
      </c>
      <c r="F83" s="14">
        <v>37071</v>
      </c>
      <c r="G83" s="14">
        <v>37045</v>
      </c>
      <c r="H83" s="13" t="s">
        <v>9</v>
      </c>
      <c r="I83" s="9">
        <v>252000</v>
      </c>
      <c r="J83" s="8" t="s">
        <v>77</v>
      </c>
    </row>
    <row r="84" spans="2:10" ht="22.8" hidden="1" x14ac:dyDescent="0.25">
      <c r="B84" s="7" t="s">
        <v>171</v>
      </c>
      <c r="C84" s="8" t="s">
        <v>45</v>
      </c>
      <c r="D84" s="13" t="s">
        <v>26</v>
      </c>
      <c r="E84" s="14">
        <v>37044</v>
      </c>
      <c r="F84" s="14">
        <v>37086</v>
      </c>
      <c r="G84" s="14">
        <v>37054</v>
      </c>
      <c r="H84" s="13" t="s">
        <v>12</v>
      </c>
      <c r="I84" s="9">
        <v>10000</v>
      </c>
      <c r="J84" s="8" t="s">
        <v>93</v>
      </c>
    </row>
    <row r="85" spans="2:10" ht="22.8" hidden="1" x14ac:dyDescent="0.25">
      <c r="B85" s="7" t="s">
        <v>172</v>
      </c>
      <c r="C85" s="8" t="s">
        <v>35</v>
      </c>
      <c r="D85" s="13" t="s">
        <v>21</v>
      </c>
      <c r="E85" s="14">
        <v>37050</v>
      </c>
      <c r="F85" s="14">
        <v>37078</v>
      </c>
      <c r="G85" s="14">
        <v>37053</v>
      </c>
      <c r="H85" s="13" t="s">
        <v>12</v>
      </c>
      <c r="I85" s="9">
        <v>23000</v>
      </c>
      <c r="J85" s="8" t="s">
        <v>74</v>
      </c>
    </row>
    <row r="86" spans="2:10" ht="22.8" hidden="1" x14ac:dyDescent="0.25">
      <c r="B86" s="7" t="s">
        <v>173</v>
      </c>
      <c r="C86" s="8" t="s">
        <v>34</v>
      </c>
      <c r="D86" s="13" t="s">
        <v>26</v>
      </c>
      <c r="E86" s="14">
        <v>37051</v>
      </c>
      <c r="F86" s="14">
        <v>37093</v>
      </c>
      <c r="G86" s="14">
        <v>37065</v>
      </c>
      <c r="H86" s="13" t="s">
        <v>14</v>
      </c>
      <c r="I86" s="9">
        <v>60000</v>
      </c>
      <c r="J86" s="8" t="s">
        <v>79</v>
      </c>
    </row>
    <row r="87" spans="2:10" ht="22.8" hidden="1" x14ac:dyDescent="0.25">
      <c r="B87" s="7" t="s">
        <v>174</v>
      </c>
      <c r="C87" s="8" t="s">
        <v>24</v>
      </c>
      <c r="D87" s="13" t="s">
        <v>13</v>
      </c>
      <c r="E87" s="14">
        <v>37051</v>
      </c>
      <c r="F87" s="14">
        <v>37079</v>
      </c>
      <c r="G87" s="14">
        <v>37057</v>
      </c>
      <c r="H87" s="13" t="s">
        <v>9</v>
      </c>
      <c r="I87" s="9">
        <v>14000</v>
      </c>
      <c r="J87" s="8" t="s">
        <v>84</v>
      </c>
    </row>
    <row r="88" spans="2:10" ht="22.8" hidden="1" x14ac:dyDescent="0.25">
      <c r="B88" s="7" t="s">
        <v>175</v>
      </c>
      <c r="C88" s="8" t="s">
        <v>48</v>
      </c>
      <c r="D88" s="13" t="s">
        <v>16</v>
      </c>
      <c r="E88" s="14">
        <v>37054</v>
      </c>
      <c r="F88" s="14">
        <v>37082</v>
      </c>
      <c r="G88" s="14">
        <v>37080</v>
      </c>
      <c r="H88" s="13" t="s">
        <v>9</v>
      </c>
      <c r="I88" s="9">
        <v>7000</v>
      </c>
      <c r="J88" s="8" t="s">
        <v>69</v>
      </c>
    </row>
    <row r="89" spans="2:10" ht="22.8" hidden="1" x14ac:dyDescent="0.25">
      <c r="B89" s="7" t="s">
        <v>176</v>
      </c>
      <c r="C89" s="8" t="s">
        <v>24</v>
      </c>
      <c r="D89" s="13" t="s">
        <v>8</v>
      </c>
      <c r="E89" s="14">
        <v>37057</v>
      </c>
      <c r="F89" s="14">
        <v>37085</v>
      </c>
      <c r="G89" s="14">
        <v>37082</v>
      </c>
      <c r="H89" s="13" t="s">
        <v>12</v>
      </c>
      <c r="I89" s="9">
        <v>59000</v>
      </c>
      <c r="J89" s="8" t="s">
        <v>84</v>
      </c>
    </row>
    <row r="90" spans="2:10" ht="22.8" hidden="1" x14ac:dyDescent="0.25">
      <c r="B90" s="7" t="s">
        <v>177</v>
      </c>
      <c r="C90" s="8" t="s">
        <v>56</v>
      </c>
      <c r="D90" s="13" t="s">
        <v>13</v>
      </c>
      <c r="E90" s="14">
        <v>37060</v>
      </c>
      <c r="F90" s="14">
        <v>37088</v>
      </c>
      <c r="G90" s="14">
        <v>37071</v>
      </c>
      <c r="H90" s="13" t="s">
        <v>14</v>
      </c>
      <c r="I90" s="9">
        <v>38000</v>
      </c>
      <c r="J90" s="8" t="s">
        <v>94</v>
      </c>
    </row>
    <row r="91" spans="2:10" ht="22.8" hidden="1" x14ac:dyDescent="0.25">
      <c r="B91" s="7" t="s">
        <v>178</v>
      </c>
      <c r="C91" s="8" t="s">
        <v>32</v>
      </c>
      <c r="D91" s="13" t="s">
        <v>8</v>
      </c>
      <c r="E91" s="14">
        <v>37061</v>
      </c>
      <c r="F91" s="14">
        <v>37075</v>
      </c>
      <c r="G91" s="14">
        <v>37071</v>
      </c>
      <c r="H91" s="13" t="s">
        <v>12</v>
      </c>
      <c r="I91" s="9">
        <v>127000</v>
      </c>
      <c r="J91" s="8" t="s">
        <v>95</v>
      </c>
    </row>
    <row r="92" spans="2:10" ht="22.8" hidden="1" x14ac:dyDescent="0.25">
      <c r="B92" s="7" t="s">
        <v>179</v>
      </c>
      <c r="C92" s="8" t="s">
        <v>31</v>
      </c>
      <c r="D92" s="13" t="s">
        <v>16</v>
      </c>
      <c r="E92" s="14">
        <v>37064</v>
      </c>
      <c r="F92" s="14">
        <v>37078</v>
      </c>
      <c r="G92" s="14">
        <v>37071</v>
      </c>
      <c r="H92" s="13" t="s">
        <v>9</v>
      </c>
      <c r="I92" s="9">
        <v>19000</v>
      </c>
      <c r="J92" s="8" t="s">
        <v>88</v>
      </c>
    </row>
    <row r="93" spans="2:10" ht="22.8" hidden="1" x14ac:dyDescent="0.25">
      <c r="B93" s="7" t="s">
        <v>180</v>
      </c>
      <c r="C93" s="8" t="s">
        <v>56</v>
      </c>
      <c r="D93" s="13" t="s">
        <v>19</v>
      </c>
      <c r="E93" s="14">
        <v>37064</v>
      </c>
      <c r="F93" s="14">
        <v>37106</v>
      </c>
      <c r="G93" s="14">
        <v>37071</v>
      </c>
      <c r="H93" s="13" t="s">
        <v>14</v>
      </c>
      <c r="I93" s="9">
        <v>25000</v>
      </c>
      <c r="J93" s="8" t="s">
        <v>94</v>
      </c>
    </row>
    <row r="94" spans="2:10" ht="22.8" hidden="1" x14ac:dyDescent="0.25">
      <c r="B94" s="7" t="s">
        <v>181</v>
      </c>
      <c r="C94" s="8" t="s">
        <v>22</v>
      </c>
      <c r="D94" s="13" t="s">
        <v>13</v>
      </c>
      <c r="E94" s="14">
        <v>37067</v>
      </c>
      <c r="F94" s="14">
        <v>37095</v>
      </c>
      <c r="G94" s="14">
        <v>37072</v>
      </c>
      <c r="H94" s="13" t="s">
        <v>9</v>
      </c>
      <c r="I94" s="9">
        <v>76000</v>
      </c>
      <c r="J94" s="8" t="s">
        <v>86</v>
      </c>
    </row>
    <row r="95" spans="2:10" ht="22.8" hidden="1" x14ac:dyDescent="0.25">
      <c r="B95" s="7" t="s">
        <v>182</v>
      </c>
      <c r="C95" s="8" t="s">
        <v>27</v>
      </c>
      <c r="D95" s="13" t="s">
        <v>26</v>
      </c>
      <c r="E95" s="14">
        <v>37071</v>
      </c>
      <c r="F95" s="14">
        <v>37099</v>
      </c>
      <c r="G95" s="14">
        <v>37075</v>
      </c>
      <c r="H95" s="13" t="s">
        <v>14</v>
      </c>
      <c r="I95" s="9">
        <v>7000</v>
      </c>
      <c r="J95" s="8" t="s">
        <v>76</v>
      </c>
    </row>
    <row r="96" spans="2:10" ht="22.8" hidden="1" x14ac:dyDescent="0.25">
      <c r="B96" s="7" t="s">
        <v>183</v>
      </c>
      <c r="C96" s="8" t="s">
        <v>20</v>
      </c>
      <c r="D96" s="13" t="s">
        <v>36</v>
      </c>
      <c r="E96" s="14">
        <v>37072</v>
      </c>
      <c r="F96" s="14">
        <v>37100</v>
      </c>
      <c r="G96" s="14">
        <v>37081</v>
      </c>
      <c r="H96" s="13" t="s">
        <v>12</v>
      </c>
      <c r="I96" s="9">
        <v>13000</v>
      </c>
      <c r="J96" s="8" t="s">
        <v>67</v>
      </c>
    </row>
    <row r="97" spans="2:10" ht="22.8" hidden="1" x14ac:dyDescent="0.25">
      <c r="B97" s="7" t="s">
        <v>184</v>
      </c>
      <c r="C97" s="8" t="s">
        <v>35</v>
      </c>
      <c r="D97" s="13" t="s">
        <v>19</v>
      </c>
      <c r="E97" s="14">
        <v>37073</v>
      </c>
      <c r="F97" s="14">
        <v>37101</v>
      </c>
      <c r="G97" s="14">
        <v>37080</v>
      </c>
      <c r="H97" s="13" t="s">
        <v>12</v>
      </c>
      <c r="I97" s="9">
        <v>0.48</v>
      </c>
      <c r="J97" s="8" t="s">
        <v>74</v>
      </c>
    </row>
    <row r="98" spans="2:10" ht="22.8" hidden="1" x14ac:dyDescent="0.25">
      <c r="B98" s="7" t="s">
        <v>185</v>
      </c>
      <c r="C98" s="8" t="s">
        <v>23</v>
      </c>
      <c r="D98" s="13" t="s">
        <v>21</v>
      </c>
      <c r="E98" s="14">
        <v>37073</v>
      </c>
      <c r="F98" s="14">
        <v>37101</v>
      </c>
      <c r="G98" s="14">
        <v>37080</v>
      </c>
      <c r="H98" s="13" t="s">
        <v>12</v>
      </c>
      <c r="I98" s="9">
        <v>63000</v>
      </c>
      <c r="J98" s="8" t="s">
        <v>96</v>
      </c>
    </row>
    <row r="99" spans="2:10" ht="22.8" hidden="1" x14ac:dyDescent="0.25">
      <c r="B99" s="7" t="s">
        <v>186</v>
      </c>
      <c r="C99" s="8" t="s">
        <v>30</v>
      </c>
      <c r="D99" s="13" t="s">
        <v>26</v>
      </c>
      <c r="E99" s="14">
        <v>37074</v>
      </c>
      <c r="F99" s="14">
        <v>37102</v>
      </c>
      <c r="G99" s="14">
        <v>37081</v>
      </c>
      <c r="H99" s="13" t="s">
        <v>9</v>
      </c>
      <c r="I99" s="9">
        <v>195000</v>
      </c>
      <c r="J99" s="8" t="s">
        <v>68</v>
      </c>
    </row>
    <row r="100" spans="2:10" ht="22.8" hidden="1" x14ac:dyDescent="0.25">
      <c r="B100" s="24" t="s">
        <v>187</v>
      </c>
      <c r="C100" s="8" t="s">
        <v>55</v>
      </c>
      <c r="D100" s="13" t="s">
        <v>25</v>
      </c>
      <c r="E100" s="14">
        <v>37075</v>
      </c>
      <c r="F100" s="14">
        <v>37103</v>
      </c>
      <c r="G100" s="14">
        <v>37085</v>
      </c>
      <c r="H100" s="13" t="s">
        <v>14</v>
      </c>
      <c r="I100" s="9">
        <v>4000</v>
      </c>
      <c r="J100" s="8" t="s">
        <v>90</v>
      </c>
    </row>
    <row r="101" spans="2:10" ht="22.8" hidden="1" x14ac:dyDescent="0.25">
      <c r="B101" s="7" t="s">
        <v>188</v>
      </c>
      <c r="C101" s="8" t="s">
        <v>40</v>
      </c>
      <c r="D101" s="13" t="s">
        <v>16</v>
      </c>
      <c r="E101" s="14">
        <v>37080</v>
      </c>
      <c r="F101" s="14">
        <v>37108</v>
      </c>
      <c r="G101" s="14">
        <v>37087</v>
      </c>
      <c r="H101" s="13" t="s">
        <v>14</v>
      </c>
      <c r="I101" s="9">
        <v>5000</v>
      </c>
      <c r="J101" s="8" t="s">
        <v>78</v>
      </c>
    </row>
    <row r="102" spans="2:10" ht="22.8" hidden="1" x14ac:dyDescent="0.25">
      <c r="B102" s="24" t="s">
        <v>189</v>
      </c>
      <c r="C102" s="8" t="s">
        <v>28</v>
      </c>
      <c r="D102" s="13" t="s">
        <v>25</v>
      </c>
      <c r="E102" s="14">
        <v>37082</v>
      </c>
      <c r="F102" s="14">
        <v>37110</v>
      </c>
      <c r="G102" s="14">
        <v>37114</v>
      </c>
      <c r="H102" s="13" t="s">
        <v>12</v>
      </c>
      <c r="I102" s="9">
        <v>16000</v>
      </c>
      <c r="J102" s="8" t="s">
        <v>81</v>
      </c>
    </row>
    <row r="103" spans="2:10" ht="22.8" hidden="1" x14ac:dyDescent="0.25">
      <c r="B103" s="7" t="s">
        <v>190</v>
      </c>
      <c r="C103" s="8" t="s">
        <v>46</v>
      </c>
      <c r="D103" s="13" t="s">
        <v>36</v>
      </c>
      <c r="E103" s="14">
        <v>37082</v>
      </c>
      <c r="F103" s="14">
        <v>37110</v>
      </c>
      <c r="G103" s="14">
        <v>37089</v>
      </c>
      <c r="H103" s="13" t="s">
        <v>9</v>
      </c>
      <c r="I103" s="9">
        <v>35000</v>
      </c>
      <c r="J103" s="8" t="s">
        <v>73</v>
      </c>
    </row>
    <row r="104" spans="2:10" ht="22.8" x14ac:dyDescent="0.25">
      <c r="B104" s="7" t="s">
        <v>191</v>
      </c>
      <c r="C104" s="8" t="s">
        <v>24</v>
      </c>
      <c r="D104" s="13" t="s">
        <v>21</v>
      </c>
      <c r="E104" s="14">
        <v>37085</v>
      </c>
      <c r="F104" s="14">
        <v>37113</v>
      </c>
      <c r="G104" s="14">
        <v>37089</v>
      </c>
      <c r="H104" s="13" t="s">
        <v>9</v>
      </c>
      <c r="I104" s="9">
        <v>44000</v>
      </c>
      <c r="J104" s="8" t="s">
        <v>84</v>
      </c>
    </row>
    <row r="105" spans="2:10" ht="22.8" hidden="1" x14ac:dyDescent="0.25">
      <c r="B105" s="24" t="s">
        <v>192</v>
      </c>
      <c r="C105" s="8" t="s">
        <v>43</v>
      </c>
      <c r="D105" s="13" t="s">
        <v>25</v>
      </c>
      <c r="E105" s="14">
        <v>37089</v>
      </c>
      <c r="F105" s="14">
        <v>37117</v>
      </c>
      <c r="G105" s="14">
        <v>37110</v>
      </c>
      <c r="H105" s="13" t="s">
        <v>14</v>
      </c>
      <c r="I105" s="9">
        <v>49000</v>
      </c>
      <c r="J105" s="8" t="s">
        <v>77</v>
      </c>
    </row>
    <row r="106" spans="2:10" ht="22.8" hidden="1" x14ac:dyDescent="0.25">
      <c r="B106" s="7" t="s">
        <v>193</v>
      </c>
      <c r="C106" s="8" t="s">
        <v>37</v>
      </c>
      <c r="D106" s="13" t="s">
        <v>13</v>
      </c>
      <c r="E106" s="14">
        <v>37093</v>
      </c>
      <c r="F106" s="14">
        <v>37121</v>
      </c>
      <c r="G106" s="14">
        <v>37102</v>
      </c>
      <c r="H106" s="13" t="s">
        <v>9</v>
      </c>
      <c r="I106" s="9">
        <v>79000</v>
      </c>
      <c r="J106" s="8" t="s">
        <v>85</v>
      </c>
    </row>
    <row r="107" spans="2:10" ht="22.8" hidden="1" x14ac:dyDescent="0.25">
      <c r="B107" s="7" t="s">
        <v>194</v>
      </c>
      <c r="C107" s="8" t="s">
        <v>43</v>
      </c>
      <c r="D107" s="13" t="s">
        <v>8</v>
      </c>
      <c r="E107" s="14">
        <v>37093</v>
      </c>
      <c r="F107" s="14">
        <v>37121</v>
      </c>
      <c r="G107" s="14">
        <v>37096</v>
      </c>
      <c r="H107" s="13" t="s">
        <v>12</v>
      </c>
      <c r="I107" s="9">
        <v>200000</v>
      </c>
      <c r="J107" s="8" t="s">
        <v>77</v>
      </c>
    </row>
    <row r="108" spans="2:10" ht="22.8" hidden="1" x14ac:dyDescent="0.25">
      <c r="B108" s="7" t="s">
        <v>195</v>
      </c>
      <c r="C108" s="8" t="s">
        <v>10</v>
      </c>
      <c r="D108" s="13" t="s">
        <v>13</v>
      </c>
      <c r="E108" s="14">
        <v>37094</v>
      </c>
      <c r="F108" s="14">
        <v>37122</v>
      </c>
      <c r="G108" s="14">
        <v>37103</v>
      </c>
      <c r="H108" s="13" t="s">
        <v>14</v>
      </c>
      <c r="I108" s="9">
        <v>28000</v>
      </c>
      <c r="J108" s="8" t="s">
        <v>63</v>
      </c>
    </row>
    <row r="109" spans="2:10" ht="22.8" hidden="1" x14ac:dyDescent="0.25">
      <c r="B109" s="7" t="s">
        <v>196</v>
      </c>
      <c r="C109" s="8" t="s">
        <v>50</v>
      </c>
      <c r="D109" s="13" t="s">
        <v>11</v>
      </c>
      <c r="E109" s="14">
        <v>37096</v>
      </c>
      <c r="F109" s="14">
        <v>37124</v>
      </c>
      <c r="G109" s="14">
        <v>37103</v>
      </c>
      <c r="H109" s="13" t="s">
        <v>14</v>
      </c>
      <c r="I109" s="9">
        <v>81000</v>
      </c>
      <c r="J109" s="8" t="s">
        <v>72</v>
      </c>
    </row>
    <row r="110" spans="2:10" ht="22.8" hidden="1" x14ac:dyDescent="0.25">
      <c r="B110" s="7" t="s">
        <v>197</v>
      </c>
      <c r="C110" s="8" t="s">
        <v>43</v>
      </c>
      <c r="D110" s="13" t="s">
        <v>21</v>
      </c>
      <c r="E110" s="14">
        <v>37099</v>
      </c>
      <c r="F110" s="14">
        <v>37127</v>
      </c>
      <c r="G110" s="14">
        <v>37103</v>
      </c>
      <c r="H110" s="13" t="s">
        <v>14</v>
      </c>
      <c r="I110" s="9">
        <v>544000</v>
      </c>
      <c r="J110" s="8" t="s">
        <v>77</v>
      </c>
    </row>
    <row r="111" spans="2:10" ht="22.8" hidden="1" x14ac:dyDescent="0.25">
      <c r="B111" s="7" t="s">
        <v>198</v>
      </c>
      <c r="C111" s="8" t="s">
        <v>57</v>
      </c>
      <c r="D111" s="13" t="s">
        <v>26</v>
      </c>
      <c r="E111" s="14">
        <v>37101</v>
      </c>
      <c r="F111" s="14">
        <v>37129</v>
      </c>
      <c r="G111" s="14">
        <v>37108</v>
      </c>
      <c r="H111" s="13" t="s">
        <v>9</v>
      </c>
      <c r="I111" s="9">
        <v>1000</v>
      </c>
      <c r="J111" s="8" t="s">
        <v>97</v>
      </c>
    </row>
    <row r="112" spans="2:10" ht="22.8" hidden="1" x14ac:dyDescent="0.25">
      <c r="B112" s="7" t="s">
        <v>199</v>
      </c>
      <c r="C112" s="8" t="s">
        <v>55</v>
      </c>
      <c r="D112" s="13" t="s">
        <v>21</v>
      </c>
      <c r="E112" s="14">
        <v>37102</v>
      </c>
      <c r="F112" s="14">
        <v>37130</v>
      </c>
      <c r="G112" s="14">
        <v>37107</v>
      </c>
      <c r="H112" s="13" t="s">
        <v>14</v>
      </c>
      <c r="I112" s="9">
        <v>117000</v>
      </c>
      <c r="J112" s="8" t="s">
        <v>90</v>
      </c>
    </row>
    <row r="113" spans="2:10" ht="22.8" hidden="1" x14ac:dyDescent="0.25">
      <c r="B113" s="7" t="s">
        <v>200</v>
      </c>
      <c r="C113" s="8" t="s">
        <v>55</v>
      </c>
      <c r="D113" s="13" t="s">
        <v>13</v>
      </c>
      <c r="E113" s="14">
        <v>37102</v>
      </c>
      <c r="F113" s="14">
        <v>37130</v>
      </c>
      <c r="G113" s="14">
        <v>37106</v>
      </c>
      <c r="H113" s="13" t="s">
        <v>14</v>
      </c>
      <c r="I113" s="9">
        <v>19000</v>
      </c>
      <c r="J113" s="8" t="s">
        <v>90</v>
      </c>
    </row>
    <row r="114" spans="2:10" ht="22.8" hidden="1" x14ac:dyDescent="0.25">
      <c r="B114" s="7" t="s">
        <v>201</v>
      </c>
      <c r="C114" s="8" t="s">
        <v>34</v>
      </c>
      <c r="D114" s="13" t="s">
        <v>13</v>
      </c>
      <c r="E114" s="14">
        <v>37108</v>
      </c>
      <c r="F114" s="14">
        <v>37136</v>
      </c>
      <c r="G114" s="14">
        <v>37113</v>
      </c>
      <c r="H114" s="13" t="s">
        <v>9</v>
      </c>
      <c r="I114" s="9">
        <v>51000</v>
      </c>
      <c r="J114" s="8" t="s">
        <v>79</v>
      </c>
    </row>
    <row r="115" spans="2:10" ht="22.8" hidden="1" x14ac:dyDescent="0.25">
      <c r="B115" s="7" t="s">
        <v>202</v>
      </c>
      <c r="C115" s="8" t="s">
        <v>58</v>
      </c>
      <c r="D115" s="13" t="s">
        <v>13</v>
      </c>
      <c r="E115" s="14">
        <v>37109</v>
      </c>
      <c r="F115" s="14">
        <v>37137</v>
      </c>
      <c r="G115" s="14">
        <v>37121</v>
      </c>
      <c r="H115" s="13" t="s">
        <v>14</v>
      </c>
      <c r="I115" s="9">
        <v>95000</v>
      </c>
      <c r="J115" s="8" t="s">
        <v>98</v>
      </c>
    </row>
    <row r="116" spans="2:10" ht="22.8" hidden="1" x14ac:dyDescent="0.25">
      <c r="B116" s="24" t="s">
        <v>203</v>
      </c>
      <c r="C116" s="8" t="s">
        <v>43</v>
      </c>
      <c r="D116" s="13" t="s">
        <v>25</v>
      </c>
      <c r="E116" s="14">
        <v>37113</v>
      </c>
      <c r="F116" s="14">
        <v>37155</v>
      </c>
      <c r="G116" s="14">
        <v>37123</v>
      </c>
      <c r="H116" s="13" t="s">
        <v>9</v>
      </c>
      <c r="I116" s="9">
        <v>107000</v>
      </c>
      <c r="J116" s="8" t="s">
        <v>77</v>
      </c>
    </row>
    <row r="117" spans="2:10" ht="22.8" hidden="1" x14ac:dyDescent="0.25">
      <c r="B117" s="7" t="s">
        <v>204</v>
      </c>
      <c r="C117" s="8" t="s">
        <v>39</v>
      </c>
      <c r="D117" s="13" t="s">
        <v>13</v>
      </c>
      <c r="E117" s="14">
        <v>37114</v>
      </c>
      <c r="F117" s="14">
        <v>37142</v>
      </c>
      <c r="G117" s="14">
        <v>37122</v>
      </c>
      <c r="H117" s="13" t="s">
        <v>9</v>
      </c>
      <c r="I117" s="9">
        <v>85000</v>
      </c>
      <c r="J117" s="8" t="s">
        <v>92</v>
      </c>
    </row>
    <row r="118" spans="2:10" ht="22.8" hidden="1" x14ac:dyDescent="0.25">
      <c r="B118" s="24" t="s">
        <v>205</v>
      </c>
      <c r="C118" s="8" t="s">
        <v>38</v>
      </c>
      <c r="D118" s="13" t="s">
        <v>25</v>
      </c>
      <c r="E118" s="14">
        <v>37116</v>
      </c>
      <c r="F118" s="14">
        <v>37144</v>
      </c>
      <c r="G118" s="14">
        <v>37121</v>
      </c>
      <c r="H118" s="13" t="s">
        <v>12</v>
      </c>
      <c r="I118" s="9">
        <v>41000</v>
      </c>
      <c r="J118" s="8" t="s">
        <v>87</v>
      </c>
    </row>
    <row r="119" spans="2:10" ht="22.8" hidden="1" x14ac:dyDescent="0.25">
      <c r="B119" s="7" t="s">
        <v>206</v>
      </c>
      <c r="C119" s="8" t="s">
        <v>27</v>
      </c>
      <c r="D119" s="13" t="s">
        <v>13</v>
      </c>
      <c r="E119" s="14">
        <v>37121</v>
      </c>
      <c r="F119" s="14">
        <v>37149</v>
      </c>
      <c r="G119" s="14">
        <v>37128</v>
      </c>
      <c r="H119" s="13" t="s">
        <v>12</v>
      </c>
      <c r="I119" s="9">
        <v>1000</v>
      </c>
      <c r="J119" s="8" t="s">
        <v>76</v>
      </c>
    </row>
    <row r="120" spans="2:10" ht="22.8" hidden="1" x14ac:dyDescent="0.25">
      <c r="B120" s="7" t="s">
        <v>207</v>
      </c>
      <c r="C120" s="8" t="s">
        <v>49</v>
      </c>
      <c r="D120" s="13" t="s">
        <v>11</v>
      </c>
      <c r="E120" s="14">
        <v>37121</v>
      </c>
      <c r="F120" s="14">
        <v>37149</v>
      </c>
      <c r="G120" s="14">
        <v>37128</v>
      </c>
      <c r="H120" s="13" t="s">
        <v>12</v>
      </c>
      <c r="I120" s="9">
        <v>201000</v>
      </c>
      <c r="J120" s="8" t="s">
        <v>71</v>
      </c>
    </row>
    <row r="121" spans="2:10" ht="22.8" hidden="1" x14ac:dyDescent="0.25">
      <c r="B121" s="7" t="s">
        <v>208</v>
      </c>
      <c r="C121" s="8" t="s">
        <v>51</v>
      </c>
      <c r="D121" s="13" t="s">
        <v>36</v>
      </c>
      <c r="E121" s="14">
        <v>37122</v>
      </c>
      <c r="F121" s="14">
        <v>37150</v>
      </c>
      <c r="G121" s="14">
        <v>37129</v>
      </c>
      <c r="H121" s="13" t="s">
        <v>9</v>
      </c>
      <c r="I121" s="9">
        <v>39000</v>
      </c>
      <c r="J121" s="8" t="s">
        <v>89</v>
      </c>
    </row>
    <row r="122" spans="2:10" ht="22.8" hidden="1" x14ac:dyDescent="0.25">
      <c r="B122" s="7" t="s">
        <v>209</v>
      </c>
      <c r="C122" s="8" t="s">
        <v>38</v>
      </c>
      <c r="D122" s="13" t="s">
        <v>13</v>
      </c>
      <c r="E122" s="14">
        <v>37123</v>
      </c>
      <c r="F122" s="14">
        <v>37151</v>
      </c>
      <c r="G122" s="14">
        <v>37130</v>
      </c>
      <c r="H122" s="13" t="s">
        <v>12</v>
      </c>
      <c r="I122" s="9">
        <v>24000</v>
      </c>
      <c r="J122" s="8" t="s">
        <v>87</v>
      </c>
    </row>
    <row r="123" spans="2:10" ht="22.8" hidden="1" x14ac:dyDescent="0.25">
      <c r="B123" s="7" t="s">
        <v>210</v>
      </c>
      <c r="C123" s="8" t="s">
        <v>45</v>
      </c>
      <c r="D123" s="13" t="s">
        <v>36</v>
      </c>
      <c r="E123" s="14">
        <v>37124</v>
      </c>
      <c r="F123" s="14">
        <v>37152</v>
      </c>
      <c r="G123" s="14">
        <v>37138</v>
      </c>
      <c r="H123" s="13" t="s">
        <v>9</v>
      </c>
      <c r="I123" s="9">
        <v>42000</v>
      </c>
      <c r="J123" s="8" t="s">
        <v>93</v>
      </c>
    </row>
    <row r="124" spans="2:10" ht="22.8" hidden="1" x14ac:dyDescent="0.25">
      <c r="B124" s="7" t="s">
        <v>211</v>
      </c>
      <c r="C124" s="8" t="s">
        <v>38</v>
      </c>
      <c r="D124" s="13" t="s">
        <v>11</v>
      </c>
      <c r="E124" s="14">
        <v>37127</v>
      </c>
      <c r="F124" s="14">
        <v>37155</v>
      </c>
      <c r="G124" s="14">
        <v>37135</v>
      </c>
      <c r="H124" s="13" t="s">
        <v>12</v>
      </c>
      <c r="I124" s="9">
        <v>29000</v>
      </c>
      <c r="J124" s="8" t="s">
        <v>87</v>
      </c>
    </row>
    <row r="125" spans="2:10" ht="22.8" hidden="1" x14ac:dyDescent="0.25">
      <c r="B125" s="7" t="s">
        <v>212</v>
      </c>
      <c r="C125" s="8" t="s">
        <v>20</v>
      </c>
      <c r="D125" s="13" t="s">
        <v>16</v>
      </c>
      <c r="E125" s="14">
        <v>37127</v>
      </c>
      <c r="F125" s="14">
        <v>37155</v>
      </c>
      <c r="G125" s="14">
        <v>37134</v>
      </c>
      <c r="H125" s="13" t="s">
        <v>14</v>
      </c>
      <c r="I125" s="9">
        <v>0</v>
      </c>
      <c r="J125" s="8" t="s">
        <v>67</v>
      </c>
    </row>
    <row r="126" spans="2:10" ht="22.8" hidden="1" x14ac:dyDescent="0.25">
      <c r="B126" s="7" t="s">
        <v>213</v>
      </c>
      <c r="C126" s="8" t="s">
        <v>23</v>
      </c>
      <c r="D126" s="13" t="s">
        <v>13</v>
      </c>
      <c r="E126" s="14">
        <v>37129</v>
      </c>
      <c r="F126" s="14">
        <v>37143</v>
      </c>
      <c r="G126" s="14">
        <v>37136</v>
      </c>
      <c r="H126" s="13" t="s">
        <v>14</v>
      </c>
      <c r="I126" s="9">
        <v>46000</v>
      </c>
      <c r="J126" s="8" t="s">
        <v>96</v>
      </c>
    </row>
    <row r="127" spans="2:10" ht="22.8" hidden="1" x14ac:dyDescent="0.25">
      <c r="B127" s="7" t="s">
        <v>214</v>
      </c>
      <c r="C127" s="8" t="s">
        <v>34</v>
      </c>
      <c r="D127" s="13" t="s">
        <v>8</v>
      </c>
      <c r="E127" s="14">
        <v>37130</v>
      </c>
      <c r="F127" s="14">
        <v>37172</v>
      </c>
      <c r="G127" s="14">
        <v>37142</v>
      </c>
      <c r="H127" s="13" t="s">
        <v>14</v>
      </c>
      <c r="I127" s="9">
        <v>14000</v>
      </c>
      <c r="J127" s="8" t="s">
        <v>79</v>
      </c>
    </row>
    <row r="128" spans="2:10" ht="22.8" hidden="1" x14ac:dyDescent="0.25">
      <c r="B128" s="24" t="s">
        <v>215</v>
      </c>
      <c r="C128" s="8" t="s">
        <v>38</v>
      </c>
      <c r="D128" s="13" t="s">
        <v>25</v>
      </c>
      <c r="E128" s="14">
        <v>37134</v>
      </c>
      <c r="F128" s="14">
        <v>37162</v>
      </c>
      <c r="G128" s="14">
        <v>37144</v>
      </c>
      <c r="H128" s="13" t="s">
        <v>14</v>
      </c>
      <c r="I128" s="9">
        <v>21000</v>
      </c>
      <c r="J128" s="8" t="s">
        <v>87</v>
      </c>
    </row>
    <row r="129" spans="2:10" ht="22.8" hidden="1" x14ac:dyDescent="0.25">
      <c r="B129" s="7" t="s">
        <v>216</v>
      </c>
      <c r="C129" s="8" t="s">
        <v>53</v>
      </c>
      <c r="D129" s="13" t="s">
        <v>13</v>
      </c>
      <c r="E129" s="14">
        <v>37134</v>
      </c>
      <c r="F129" s="14">
        <v>37162</v>
      </c>
      <c r="G129" s="14">
        <v>37141</v>
      </c>
      <c r="H129" s="13" t="s">
        <v>14</v>
      </c>
      <c r="I129" s="9">
        <v>7000</v>
      </c>
      <c r="J129" s="8" t="s">
        <v>99</v>
      </c>
    </row>
    <row r="130" spans="2:10" ht="22.8" hidden="1" x14ac:dyDescent="0.25">
      <c r="B130" s="7" t="s">
        <v>217</v>
      </c>
      <c r="C130" s="8" t="s">
        <v>35</v>
      </c>
      <c r="D130" s="13" t="s">
        <v>21</v>
      </c>
      <c r="E130" s="14">
        <v>37136</v>
      </c>
      <c r="F130" s="14">
        <v>37164</v>
      </c>
      <c r="G130" s="14">
        <v>37144</v>
      </c>
      <c r="H130" s="13" t="s">
        <v>14</v>
      </c>
      <c r="I130" s="9">
        <v>4000</v>
      </c>
      <c r="J130" s="8" t="s">
        <v>74</v>
      </c>
    </row>
    <row r="131" spans="2:10" ht="22.8" hidden="1" x14ac:dyDescent="0.25">
      <c r="B131" s="7" t="s">
        <v>218</v>
      </c>
      <c r="C131" s="8" t="s">
        <v>55</v>
      </c>
      <c r="D131" s="13" t="s">
        <v>11</v>
      </c>
      <c r="E131" s="14">
        <v>37137</v>
      </c>
      <c r="F131" s="14">
        <v>37165</v>
      </c>
      <c r="G131" s="14">
        <v>37143</v>
      </c>
      <c r="H131" s="13" t="s">
        <v>12</v>
      </c>
      <c r="I131" s="9">
        <v>57000</v>
      </c>
      <c r="J131" s="8" t="s">
        <v>90</v>
      </c>
    </row>
    <row r="132" spans="2:10" ht="22.8" hidden="1" x14ac:dyDescent="0.25">
      <c r="B132" s="7" t="s">
        <v>219</v>
      </c>
      <c r="C132" s="8" t="s">
        <v>43</v>
      </c>
      <c r="D132" s="13" t="s">
        <v>26</v>
      </c>
      <c r="E132" s="14">
        <v>37137</v>
      </c>
      <c r="F132" s="14">
        <v>37165</v>
      </c>
      <c r="G132" s="14">
        <v>37148</v>
      </c>
      <c r="H132" s="13" t="s">
        <v>14</v>
      </c>
      <c r="I132" s="9">
        <v>353000</v>
      </c>
      <c r="J132" s="8" t="s">
        <v>77</v>
      </c>
    </row>
    <row r="133" spans="2:10" ht="22.8" hidden="1" x14ac:dyDescent="0.25">
      <c r="B133" s="7" t="s">
        <v>220</v>
      </c>
      <c r="C133" s="8" t="s">
        <v>30</v>
      </c>
      <c r="D133" s="13" t="s">
        <v>13</v>
      </c>
      <c r="E133" s="14">
        <v>37138</v>
      </c>
      <c r="F133" s="14">
        <v>37166</v>
      </c>
      <c r="G133" s="14">
        <v>37141</v>
      </c>
      <c r="H133" s="13" t="s">
        <v>12</v>
      </c>
      <c r="I133" s="9">
        <v>364000</v>
      </c>
      <c r="J133" s="8" t="s">
        <v>68</v>
      </c>
    </row>
    <row r="134" spans="2:10" ht="22.8" hidden="1" x14ac:dyDescent="0.25">
      <c r="B134" s="7" t="s">
        <v>221</v>
      </c>
      <c r="C134" s="8" t="s">
        <v>49</v>
      </c>
      <c r="D134" s="13" t="s">
        <v>36</v>
      </c>
      <c r="E134" s="14">
        <v>37138</v>
      </c>
      <c r="F134" s="14">
        <v>37166</v>
      </c>
      <c r="G134" s="14">
        <v>37143</v>
      </c>
      <c r="H134" s="13" t="s">
        <v>14</v>
      </c>
      <c r="I134" s="9">
        <v>106000</v>
      </c>
      <c r="J134" s="8" t="s">
        <v>71</v>
      </c>
    </row>
    <row r="135" spans="2:10" ht="22.8" hidden="1" x14ac:dyDescent="0.25">
      <c r="B135" s="7" t="s">
        <v>222</v>
      </c>
      <c r="C135" s="8" t="s">
        <v>18</v>
      </c>
      <c r="D135" s="13" t="s">
        <v>36</v>
      </c>
      <c r="E135" s="14">
        <v>37145</v>
      </c>
      <c r="F135" s="14">
        <v>37173</v>
      </c>
      <c r="G135" s="14">
        <v>37155</v>
      </c>
      <c r="H135" s="13" t="s">
        <v>14</v>
      </c>
      <c r="I135" s="9">
        <v>232000</v>
      </c>
      <c r="J135" s="8" t="s">
        <v>66</v>
      </c>
    </row>
    <row r="136" spans="2:10" ht="22.8" hidden="1" x14ac:dyDescent="0.25">
      <c r="B136" s="7" t="s">
        <v>223</v>
      </c>
      <c r="C136" s="8" t="s">
        <v>38</v>
      </c>
      <c r="D136" s="13" t="s">
        <v>21</v>
      </c>
      <c r="E136" s="14">
        <v>37148</v>
      </c>
      <c r="F136" s="14">
        <v>37176</v>
      </c>
      <c r="G136" s="14">
        <v>37156</v>
      </c>
      <c r="H136" s="13" t="s">
        <v>14</v>
      </c>
      <c r="I136" s="9">
        <v>47000</v>
      </c>
      <c r="J136" s="8" t="s">
        <v>87</v>
      </c>
    </row>
    <row r="137" spans="2:10" ht="22.8" hidden="1" x14ac:dyDescent="0.25">
      <c r="B137" s="7" t="s">
        <v>224</v>
      </c>
      <c r="C137" s="8" t="s">
        <v>45</v>
      </c>
      <c r="D137" s="13" t="s">
        <v>26</v>
      </c>
      <c r="E137" s="14">
        <v>37148</v>
      </c>
      <c r="F137" s="14">
        <v>37176</v>
      </c>
      <c r="G137" s="14">
        <v>37155</v>
      </c>
      <c r="H137" s="13" t="s">
        <v>12</v>
      </c>
      <c r="I137" s="9">
        <v>24000</v>
      </c>
      <c r="J137" s="8" t="s">
        <v>93</v>
      </c>
    </row>
    <row r="138" spans="2:10" ht="22.8" hidden="1" x14ac:dyDescent="0.25">
      <c r="B138" s="7" t="s">
        <v>225</v>
      </c>
      <c r="C138" s="8" t="s">
        <v>57</v>
      </c>
      <c r="D138" s="13" t="s">
        <v>26</v>
      </c>
      <c r="E138" s="14">
        <v>37151</v>
      </c>
      <c r="F138" s="14">
        <v>37179</v>
      </c>
      <c r="G138" s="14">
        <v>37152</v>
      </c>
      <c r="H138" s="13" t="s">
        <v>12</v>
      </c>
      <c r="I138" s="9">
        <v>23000</v>
      </c>
      <c r="J138" s="8" t="s">
        <v>97</v>
      </c>
    </row>
    <row r="139" spans="2:10" ht="22.8" hidden="1" x14ac:dyDescent="0.25">
      <c r="B139" s="7" t="s">
        <v>226</v>
      </c>
      <c r="C139" s="8" t="s">
        <v>31</v>
      </c>
      <c r="D139" s="13" t="s">
        <v>26</v>
      </c>
      <c r="E139" s="14">
        <v>37155</v>
      </c>
      <c r="F139" s="14">
        <v>37183</v>
      </c>
      <c r="G139" s="14">
        <v>37162</v>
      </c>
      <c r="H139" s="13" t="s">
        <v>14</v>
      </c>
      <c r="I139" s="9">
        <v>2000</v>
      </c>
      <c r="J139" s="8" t="s">
        <v>88</v>
      </c>
    </row>
    <row r="140" spans="2:10" ht="22.8" hidden="1" x14ac:dyDescent="0.25">
      <c r="B140" s="7" t="s">
        <v>227</v>
      </c>
      <c r="C140" s="8" t="s">
        <v>43</v>
      </c>
      <c r="D140" s="13" t="s">
        <v>36</v>
      </c>
      <c r="E140" s="14">
        <v>37156</v>
      </c>
      <c r="F140" s="14">
        <v>37184</v>
      </c>
      <c r="G140" s="14">
        <v>37179</v>
      </c>
      <c r="H140" s="13" t="s">
        <v>9</v>
      </c>
      <c r="I140" s="9">
        <v>389000</v>
      </c>
      <c r="J140" s="8" t="s">
        <v>77</v>
      </c>
    </row>
    <row r="141" spans="2:10" ht="22.8" hidden="1" x14ac:dyDescent="0.25">
      <c r="B141" s="7" t="s">
        <v>228</v>
      </c>
      <c r="C141" s="8" t="s">
        <v>40</v>
      </c>
      <c r="D141" s="13" t="s">
        <v>21</v>
      </c>
      <c r="E141" s="14">
        <v>37157</v>
      </c>
      <c r="F141" s="14">
        <v>37185</v>
      </c>
      <c r="G141" s="14">
        <v>37159</v>
      </c>
      <c r="H141" s="13" t="s">
        <v>12</v>
      </c>
      <c r="I141" s="9">
        <v>27000</v>
      </c>
      <c r="J141" s="8" t="s">
        <v>78</v>
      </c>
    </row>
    <row r="142" spans="2:10" ht="22.8" hidden="1" x14ac:dyDescent="0.25">
      <c r="B142" s="7" t="s">
        <v>229</v>
      </c>
      <c r="C142" s="8" t="s">
        <v>55</v>
      </c>
      <c r="D142" s="13" t="s">
        <v>16</v>
      </c>
      <c r="E142" s="14">
        <v>37158</v>
      </c>
      <c r="F142" s="14">
        <v>37186</v>
      </c>
      <c r="G142" s="14">
        <v>37163</v>
      </c>
      <c r="H142" s="13" t="s">
        <v>9</v>
      </c>
      <c r="I142" s="9">
        <v>76000</v>
      </c>
      <c r="J142" s="8" t="s">
        <v>90</v>
      </c>
    </row>
    <row r="143" spans="2:10" ht="22.8" hidden="1" x14ac:dyDescent="0.25">
      <c r="B143" s="7" t="s">
        <v>230</v>
      </c>
      <c r="C143" s="8" t="s">
        <v>22</v>
      </c>
      <c r="D143" s="13" t="s">
        <v>16</v>
      </c>
      <c r="E143" s="14">
        <v>37159</v>
      </c>
      <c r="F143" s="14">
        <v>37187</v>
      </c>
      <c r="G143" s="14">
        <v>37163</v>
      </c>
      <c r="H143" s="13" t="s">
        <v>12</v>
      </c>
      <c r="I143" s="9">
        <v>146000</v>
      </c>
      <c r="J143" s="8" t="s">
        <v>86</v>
      </c>
    </row>
    <row r="144" spans="2:10" ht="22.8" hidden="1" x14ac:dyDescent="0.25">
      <c r="B144" s="7" t="s">
        <v>231</v>
      </c>
      <c r="C144" s="8" t="s">
        <v>53</v>
      </c>
      <c r="D144" s="13" t="s">
        <v>13</v>
      </c>
      <c r="E144" s="14">
        <v>37162</v>
      </c>
      <c r="F144" s="14">
        <v>37176</v>
      </c>
      <c r="G144" s="14">
        <v>37166</v>
      </c>
      <c r="H144" s="13" t="s">
        <v>14</v>
      </c>
      <c r="I144" s="9">
        <v>34000</v>
      </c>
      <c r="J144" s="8" t="s">
        <v>99</v>
      </c>
    </row>
    <row r="145" spans="2:10" ht="22.8" hidden="1" x14ac:dyDescent="0.25">
      <c r="B145" s="7" t="s">
        <v>232</v>
      </c>
      <c r="C145" s="8" t="s">
        <v>46</v>
      </c>
      <c r="D145" s="13" t="s">
        <v>26</v>
      </c>
      <c r="E145" s="14">
        <v>37163</v>
      </c>
      <c r="F145" s="14">
        <v>37191</v>
      </c>
      <c r="G145" s="14">
        <v>37171</v>
      </c>
      <c r="H145" s="13" t="s">
        <v>12</v>
      </c>
      <c r="I145" s="9">
        <v>97000</v>
      </c>
      <c r="J145" s="8" t="s">
        <v>73</v>
      </c>
    </row>
    <row r="146" spans="2:10" ht="22.8" hidden="1" x14ac:dyDescent="0.25">
      <c r="B146" s="7" t="s">
        <v>233</v>
      </c>
      <c r="C146" s="8" t="s">
        <v>30</v>
      </c>
      <c r="D146" s="13" t="s">
        <v>26</v>
      </c>
      <c r="E146" s="14">
        <v>37166</v>
      </c>
      <c r="F146" s="14">
        <v>37208</v>
      </c>
      <c r="G146" s="14">
        <v>37185</v>
      </c>
      <c r="H146" s="13" t="s">
        <v>14</v>
      </c>
      <c r="I146" s="9">
        <v>810000</v>
      </c>
      <c r="J146" s="8" t="s">
        <v>68</v>
      </c>
    </row>
    <row r="147" spans="2:10" ht="22.8" hidden="1" x14ac:dyDescent="0.25">
      <c r="B147" s="7" t="s">
        <v>234</v>
      </c>
      <c r="C147" s="8" t="s">
        <v>32</v>
      </c>
      <c r="D147" s="13" t="s">
        <v>13</v>
      </c>
      <c r="E147" s="14">
        <v>37166</v>
      </c>
      <c r="F147" s="14">
        <v>37194</v>
      </c>
      <c r="G147" s="14">
        <v>37176</v>
      </c>
      <c r="H147" s="13" t="s">
        <v>14</v>
      </c>
      <c r="I147" s="9">
        <v>61000</v>
      </c>
      <c r="J147" s="8" t="s">
        <v>95</v>
      </c>
    </row>
    <row r="148" spans="2:10" ht="22.8" hidden="1" x14ac:dyDescent="0.25">
      <c r="B148" s="7" t="s">
        <v>235</v>
      </c>
      <c r="C148" s="8" t="s">
        <v>28</v>
      </c>
      <c r="D148" s="13" t="s">
        <v>16</v>
      </c>
      <c r="E148" s="14">
        <v>37169</v>
      </c>
      <c r="F148" s="14">
        <v>37183</v>
      </c>
      <c r="G148" s="14">
        <v>37173</v>
      </c>
      <c r="H148" s="13" t="s">
        <v>9</v>
      </c>
      <c r="I148" s="9">
        <v>139000</v>
      </c>
      <c r="J148" s="8" t="s">
        <v>81</v>
      </c>
    </row>
    <row r="149" spans="2:10" ht="22.8" hidden="1" x14ac:dyDescent="0.25">
      <c r="B149" s="24" t="s">
        <v>236</v>
      </c>
      <c r="C149" s="8" t="s">
        <v>30</v>
      </c>
      <c r="D149" s="13" t="s">
        <v>25</v>
      </c>
      <c r="E149" s="14">
        <v>37169</v>
      </c>
      <c r="F149" s="14">
        <v>37197</v>
      </c>
      <c r="G149" s="14">
        <v>37172</v>
      </c>
      <c r="H149" s="13" t="s">
        <v>9</v>
      </c>
      <c r="I149" s="9">
        <v>396000</v>
      </c>
      <c r="J149" s="8" t="s">
        <v>68</v>
      </c>
    </row>
    <row r="150" spans="2:10" ht="22.8" hidden="1" x14ac:dyDescent="0.25">
      <c r="B150" s="7" t="s">
        <v>237</v>
      </c>
      <c r="C150" s="8" t="s">
        <v>57</v>
      </c>
      <c r="D150" s="13" t="s">
        <v>36</v>
      </c>
      <c r="E150" s="14">
        <v>37170</v>
      </c>
      <c r="F150" s="14">
        <v>37212</v>
      </c>
      <c r="G150" s="14">
        <v>37177</v>
      </c>
      <c r="H150" s="13" t="s">
        <v>12</v>
      </c>
      <c r="I150" s="9">
        <v>17000</v>
      </c>
      <c r="J150" s="8" t="s">
        <v>97</v>
      </c>
    </row>
    <row r="151" spans="2:10" ht="22.8" hidden="1" x14ac:dyDescent="0.25">
      <c r="B151" s="24" t="s">
        <v>238</v>
      </c>
      <c r="C151" s="8" t="s">
        <v>28</v>
      </c>
      <c r="D151" s="13" t="s">
        <v>25</v>
      </c>
      <c r="E151" s="14">
        <v>37171</v>
      </c>
      <c r="F151" s="14">
        <v>37213</v>
      </c>
      <c r="G151" s="14">
        <v>37177</v>
      </c>
      <c r="H151" s="13" t="s">
        <v>9</v>
      </c>
      <c r="I151" s="9">
        <v>103000</v>
      </c>
      <c r="J151" s="8" t="s">
        <v>81</v>
      </c>
    </row>
    <row r="152" spans="2:10" ht="22.8" hidden="1" x14ac:dyDescent="0.25">
      <c r="B152" s="7" t="s">
        <v>239</v>
      </c>
      <c r="C152" s="8" t="s">
        <v>32</v>
      </c>
      <c r="D152" s="13" t="s">
        <v>16</v>
      </c>
      <c r="E152" s="14">
        <v>37172</v>
      </c>
      <c r="F152" s="14">
        <v>37200</v>
      </c>
      <c r="G152" s="14">
        <v>37176</v>
      </c>
      <c r="H152" s="13" t="s">
        <v>9</v>
      </c>
      <c r="I152" s="9">
        <v>1000</v>
      </c>
      <c r="J152" s="8" t="s">
        <v>95</v>
      </c>
    </row>
    <row r="153" spans="2:10" ht="22.8" hidden="1" x14ac:dyDescent="0.25">
      <c r="B153" s="7" t="s">
        <v>240</v>
      </c>
      <c r="C153" s="8" t="s">
        <v>43</v>
      </c>
      <c r="D153" s="13" t="s">
        <v>16</v>
      </c>
      <c r="E153" s="14">
        <v>37173</v>
      </c>
      <c r="F153" s="14">
        <v>37201</v>
      </c>
      <c r="G153" s="14">
        <v>37179</v>
      </c>
      <c r="H153" s="13" t="s">
        <v>12</v>
      </c>
      <c r="I153" s="9">
        <v>65000</v>
      </c>
      <c r="J153" s="8" t="s">
        <v>77</v>
      </c>
    </row>
    <row r="154" spans="2:10" ht="22.8" hidden="1" x14ac:dyDescent="0.25">
      <c r="B154" s="7" t="s">
        <v>241</v>
      </c>
      <c r="C154" s="8" t="s">
        <v>7</v>
      </c>
      <c r="D154" s="13" t="s">
        <v>13</v>
      </c>
      <c r="E154" s="14">
        <v>37176</v>
      </c>
      <c r="F154" s="14">
        <v>37218</v>
      </c>
      <c r="G154" s="14">
        <v>37184</v>
      </c>
      <c r="H154" s="13" t="s">
        <v>12</v>
      </c>
      <c r="I154" s="9">
        <v>24000</v>
      </c>
      <c r="J154" s="8" t="s">
        <v>62</v>
      </c>
    </row>
    <row r="155" spans="2:10" ht="22.8" hidden="1" x14ac:dyDescent="0.25">
      <c r="B155" s="7" t="s">
        <v>242</v>
      </c>
      <c r="C155" s="8" t="s">
        <v>49</v>
      </c>
      <c r="D155" s="13" t="s">
        <v>11</v>
      </c>
      <c r="E155" s="14">
        <v>37177</v>
      </c>
      <c r="F155" s="14">
        <v>37205</v>
      </c>
      <c r="G155" s="14">
        <v>37201</v>
      </c>
      <c r="H155" s="13" t="s">
        <v>12</v>
      </c>
      <c r="I155" s="9">
        <v>5000</v>
      </c>
      <c r="J155" s="8" t="s">
        <v>71</v>
      </c>
    </row>
    <row r="156" spans="2:10" ht="22.8" hidden="1" x14ac:dyDescent="0.25">
      <c r="B156" s="24" t="s">
        <v>243</v>
      </c>
      <c r="C156" s="8" t="s">
        <v>40</v>
      </c>
      <c r="D156" s="13" t="s">
        <v>25</v>
      </c>
      <c r="E156" s="14">
        <v>37179</v>
      </c>
      <c r="F156" s="14">
        <v>37207</v>
      </c>
      <c r="G156" s="14">
        <v>37184</v>
      </c>
      <c r="H156" s="13" t="s">
        <v>9</v>
      </c>
      <c r="I156" s="9">
        <v>136000</v>
      </c>
      <c r="J156" s="8" t="s">
        <v>78</v>
      </c>
    </row>
    <row r="157" spans="2:10" ht="22.8" hidden="1" x14ac:dyDescent="0.25">
      <c r="B157" s="7" t="s">
        <v>244</v>
      </c>
      <c r="C157" s="8" t="s">
        <v>41</v>
      </c>
      <c r="D157" s="13" t="s">
        <v>11</v>
      </c>
      <c r="E157" s="14">
        <v>37180</v>
      </c>
      <c r="F157" s="14">
        <v>37222</v>
      </c>
      <c r="G157" s="14">
        <v>37199</v>
      </c>
      <c r="H157" s="13" t="s">
        <v>14</v>
      </c>
      <c r="I157" s="9">
        <v>3000</v>
      </c>
      <c r="J157" s="8" t="s">
        <v>100</v>
      </c>
    </row>
    <row r="158" spans="2:10" ht="22.8" x14ac:dyDescent="0.25">
      <c r="B158" s="7" t="s">
        <v>245</v>
      </c>
      <c r="C158" s="8" t="s">
        <v>53</v>
      </c>
      <c r="D158" s="13" t="s">
        <v>21</v>
      </c>
      <c r="E158" s="14">
        <v>37180</v>
      </c>
      <c r="F158" s="14">
        <v>37208</v>
      </c>
      <c r="G158" s="14">
        <v>37214</v>
      </c>
      <c r="H158" s="13" t="s">
        <v>9</v>
      </c>
      <c r="I158" s="9">
        <v>211000</v>
      </c>
      <c r="J158" s="8" t="s">
        <v>99</v>
      </c>
    </row>
    <row r="159" spans="2:10" ht="22.8" hidden="1" x14ac:dyDescent="0.25">
      <c r="B159" s="7" t="s">
        <v>246</v>
      </c>
      <c r="C159" s="8" t="s">
        <v>43</v>
      </c>
      <c r="D159" s="13" t="s">
        <v>8</v>
      </c>
      <c r="E159" s="14">
        <v>37184</v>
      </c>
      <c r="F159" s="14">
        <v>37226</v>
      </c>
      <c r="G159" s="14">
        <v>37192</v>
      </c>
      <c r="H159" s="13" t="s">
        <v>14</v>
      </c>
      <c r="I159" s="9">
        <v>52000</v>
      </c>
      <c r="J159" s="8" t="s">
        <v>77</v>
      </c>
    </row>
    <row r="160" spans="2:10" ht="22.8" hidden="1" x14ac:dyDescent="0.25">
      <c r="B160" s="7" t="s">
        <v>247</v>
      </c>
      <c r="C160" s="8" t="s">
        <v>43</v>
      </c>
      <c r="D160" s="13" t="s">
        <v>21</v>
      </c>
      <c r="E160" s="14">
        <v>37185</v>
      </c>
      <c r="F160" s="14">
        <v>37213</v>
      </c>
      <c r="G160" s="14">
        <v>37187</v>
      </c>
      <c r="H160" s="13" t="s">
        <v>12</v>
      </c>
      <c r="I160" s="9">
        <v>167000</v>
      </c>
      <c r="J160" s="8" t="s">
        <v>77</v>
      </c>
    </row>
    <row r="161" spans="2:10" ht="22.8" hidden="1" x14ac:dyDescent="0.25">
      <c r="B161" s="7" t="s">
        <v>248</v>
      </c>
      <c r="C161" s="8" t="s">
        <v>43</v>
      </c>
      <c r="D161" s="13" t="s">
        <v>8</v>
      </c>
      <c r="E161" s="14">
        <v>37185</v>
      </c>
      <c r="F161" s="14">
        <v>37213</v>
      </c>
      <c r="G161" s="14">
        <v>37190</v>
      </c>
      <c r="H161" s="13" t="s">
        <v>9</v>
      </c>
      <c r="I161" s="9">
        <v>24000</v>
      </c>
      <c r="J161" s="8" t="s">
        <v>77</v>
      </c>
    </row>
    <row r="162" spans="2:10" ht="22.8" hidden="1" x14ac:dyDescent="0.25">
      <c r="B162" s="7" t="s">
        <v>249</v>
      </c>
      <c r="C162" s="8" t="s">
        <v>54</v>
      </c>
      <c r="D162" s="13" t="s">
        <v>13</v>
      </c>
      <c r="E162" s="14">
        <v>37187</v>
      </c>
      <c r="F162" s="14">
        <v>37215</v>
      </c>
      <c r="G162" s="14">
        <v>37190</v>
      </c>
      <c r="H162" s="13" t="s">
        <v>14</v>
      </c>
      <c r="I162" s="9">
        <v>23000</v>
      </c>
      <c r="J162" s="8" t="s">
        <v>80</v>
      </c>
    </row>
    <row r="163" spans="2:10" ht="22.8" hidden="1" x14ac:dyDescent="0.25">
      <c r="B163" s="24" t="s">
        <v>250</v>
      </c>
      <c r="C163" s="8" t="s">
        <v>23</v>
      </c>
      <c r="D163" s="13" t="s">
        <v>25</v>
      </c>
      <c r="E163" s="14">
        <v>37191</v>
      </c>
      <c r="F163" s="14">
        <v>37205</v>
      </c>
      <c r="G163" s="14">
        <v>37199</v>
      </c>
      <c r="H163" s="13" t="s">
        <v>14</v>
      </c>
      <c r="I163" s="9">
        <v>10000</v>
      </c>
      <c r="J163" s="8" t="s">
        <v>96</v>
      </c>
    </row>
    <row r="164" spans="2:10" ht="22.8" hidden="1" x14ac:dyDescent="0.25">
      <c r="B164" s="7" t="s">
        <v>251</v>
      </c>
      <c r="C164" s="8" t="s">
        <v>30</v>
      </c>
      <c r="D164" s="13" t="s">
        <v>8</v>
      </c>
      <c r="E164" s="14">
        <v>37192</v>
      </c>
      <c r="F164" s="14">
        <v>37220</v>
      </c>
      <c r="G164" s="14">
        <v>37194</v>
      </c>
      <c r="H164" s="13" t="s">
        <v>9</v>
      </c>
      <c r="I164" s="9">
        <v>49000</v>
      </c>
      <c r="J164" s="8" t="s">
        <v>68</v>
      </c>
    </row>
    <row r="165" spans="2:10" ht="22.8" hidden="1" x14ac:dyDescent="0.25">
      <c r="B165" s="24" t="s">
        <v>252</v>
      </c>
      <c r="C165" s="8" t="s">
        <v>43</v>
      </c>
      <c r="D165" s="13" t="s">
        <v>25</v>
      </c>
      <c r="E165" s="14">
        <v>37192</v>
      </c>
      <c r="F165" s="14">
        <v>37234</v>
      </c>
      <c r="G165" s="14">
        <v>37198</v>
      </c>
      <c r="H165" s="13" t="s">
        <v>12</v>
      </c>
      <c r="I165" s="9">
        <v>75000</v>
      </c>
      <c r="J165" s="8" t="s">
        <v>77</v>
      </c>
    </row>
    <row r="166" spans="2:10" ht="22.8" hidden="1" x14ac:dyDescent="0.25">
      <c r="B166" s="7" t="s">
        <v>253</v>
      </c>
      <c r="C166" s="8" t="s">
        <v>28</v>
      </c>
      <c r="D166" s="13" t="s">
        <v>16</v>
      </c>
      <c r="E166" s="14">
        <v>37193</v>
      </c>
      <c r="F166" s="14">
        <v>37221</v>
      </c>
      <c r="G166" s="14">
        <v>37219</v>
      </c>
      <c r="H166" s="13" t="s">
        <v>12</v>
      </c>
      <c r="I166" s="9">
        <v>22000</v>
      </c>
      <c r="J166" s="8" t="s">
        <v>81</v>
      </c>
    </row>
    <row r="167" spans="2:10" ht="22.8" hidden="1" x14ac:dyDescent="0.25">
      <c r="B167" s="7" t="s">
        <v>254</v>
      </c>
      <c r="C167" s="8" t="s">
        <v>35</v>
      </c>
      <c r="D167" s="13" t="s">
        <v>26</v>
      </c>
      <c r="E167" s="14">
        <v>37197</v>
      </c>
      <c r="F167" s="14">
        <v>37225</v>
      </c>
      <c r="G167" s="14">
        <v>37229</v>
      </c>
      <c r="H167" s="13" t="s">
        <v>12</v>
      </c>
      <c r="I167" s="9">
        <v>90000</v>
      </c>
      <c r="J167" s="8" t="s">
        <v>74</v>
      </c>
    </row>
    <row r="168" spans="2:10" ht="22.8" hidden="1" x14ac:dyDescent="0.25">
      <c r="B168" s="7" t="s">
        <v>255</v>
      </c>
      <c r="C168" s="8" t="s">
        <v>49</v>
      </c>
      <c r="D168" s="13" t="s">
        <v>13</v>
      </c>
      <c r="E168" s="14">
        <v>37198</v>
      </c>
      <c r="F168" s="14">
        <v>37226</v>
      </c>
      <c r="G168" s="14">
        <v>37205</v>
      </c>
      <c r="H168" s="13" t="s">
        <v>14</v>
      </c>
      <c r="I168" s="9">
        <v>58000</v>
      </c>
      <c r="J168" s="8" t="s">
        <v>71</v>
      </c>
    </row>
    <row r="169" spans="2:10" ht="22.8" hidden="1" x14ac:dyDescent="0.25">
      <c r="B169" s="7" t="s">
        <v>256</v>
      </c>
      <c r="C169" s="8" t="s">
        <v>53</v>
      </c>
      <c r="D169" s="13" t="s">
        <v>26</v>
      </c>
      <c r="E169" s="14">
        <v>37201</v>
      </c>
      <c r="F169" s="14">
        <v>37229</v>
      </c>
      <c r="G169" s="14">
        <v>37206</v>
      </c>
      <c r="H169" s="13" t="s">
        <v>9</v>
      </c>
      <c r="I169" s="9">
        <v>2000</v>
      </c>
      <c r="J169" s="8" t="s">
        <v>99</v>
      </c>
    </row>
    <row r="170" spans="2:10" ht="22.8" hidden="1" x14ac:dyDescent="0.25">
      <c r="B170" s="7" t="s">
        <v>257</v>
      </c>
      <c r="C170" s="8" t="s">
        <v>7</v>
      </c>
      <c r="D170" s="13" t="s">
        <v>26</v>
      </c>
      <c r="E170" s="14">
        <v>37205</v>
      </c>
      <c r="F170" s="14">
        <v>37233</v>
      </c>
      <c r="G170" s="14">
        <v>37212</v>
      </c>
      <c r="H170" s="13" t="s">
        <v>14</v>
      </c>
      <c r="I170" s="9">
        <v>8000</v>
      </c>
      <c r="J170" s="8" t="s">
        <v>62</v>
      </c>
    </row>
    <row r="171" spans="2:10" ht="22.8" hidden="1" x14ac:dyDescent="0.25">
      <c r="B171" s="7" t="s">
        <v>258</v>
      </c>
      <c r="C171" s="8" t="s">
        <v>59</v>
      </c>
      <c r="D171" s="13" t="s">
        <v>26</v>
      </c>
      <c r="E171" s="14">
        <v>37206</v>
      </c>
      <c r="F171" s="14">
        <v>37234</v>
      </c>
      <c r="G171" s="14">
        <v>37212</v>
      </c>
      <c r="H171" s="13" t="s">
        <v>12</v>
      </c>
      <c r="I171" s="9">
        <v>3000</v>
      </c>
      <c r="J171" s="8" t="s">
        <v>101</v>
      </c>
    </row>
    <row r="172" spans="2:10" ht="22.8" hidden="1" x14ac:dyDescent="0.25">
      <c r="B172" s="7" t="s">
        <v>259</v>
      </c>
      <c r="C172" s="8" t="s">
        <v>7</v>
      </c>
      <c r="D172" s="13" t="s">
        <v>16</v>
      </c>
      <c r="E172" s="14">
        <v>37206</v>
      </c>
      <c r="F172" s="14">
        <v>37234</v>
      </c>
      <c r="G172" s="14">
        <v>37211</v>
      </c>
      <c r="H172" s="13" t="s">
        <v>9</v>
      </c>
      <c r="I172" s="9">
        <v>11000</v>
      </c>
      <c r="J172" s="8" t="s">
        <v>62</v>
      </c>
    </row>
    <row r="173" spans="2:10" ht="22.8" hidden="1" x14ac:dyDescent="0.25">
      <c r="B173" s="7" t="s">
        <v>260</v>
      </c>
      <c r="C173" s="8" t="s">
        <v>28</v>
      </c>
      <c r="D173" s="13" t="s">
        <v>13</v>
      </c>
      <c r="E173" s="14">
        <v>37207</v>
      </c>
      <c r="F173" s="14">
        <v>37235</v>
      </c>
      <c r="G173" s="14">
        <v>37219</v>
      </c>
      <c r="H173" s="13" t="s">
        <v>14</v>
      </c>
      <c r="I173" s="9">
        <v>82000</v>
      </c>
      <c r="J173" s="8" t="s">
        <v>81</v>
      </c>
    </row>
    <row r="174" spans="2:10" ht="22.8" hidden="1" x14ac:dyDescent="0.25">
      <c r="B174" s="7" t="s">
        <v>261</v>
      </c>
      <c r="C174" s="8" t="s">
        <v>30</v>
      </c>
      <c r="D174" s="13" t="s">
        <v>19</v>
      </c>
      <c r="E174" s="14">
        <v>37212</v>
      </c>
      <c r="F174" s="14">
        <v>37240</v>
      </c>
      <c r="G174" s="14">
        <v>37221</v>
      </c>
      <c r="H174" s="13" t="s">
        <v>12</v>
      </c>
      <c r="I174" s="9">
        <v>4000</v>
      </c>
      <c r="J174" s="8" t="s">
        <v>68</v>
      </c>
    </row>
    <row r="175" spans="2:10" ht="22.8" hidden="1" x14ac:dyDescent="0.25">
      <c r="B175" s="7" t="s">
        <v>262</v>
      </c>
      <c r="C175" s="8" t="s">
        <v>46</v>
      </c>
      <c r="D175" s="13" t="s">
        <v>11</v>
      </c>
      <c r="E175" s="14">
        <v>37213</v>
      </c>
      <c r="F175" s="14">
        <v>37241</v>
      </c>
      <c r="G175" s="14">
        <v>37220</v>
      </c>
      <c r="H175" s="13" t="s">
        <v>12</v>
      </c>
      <c r="I175" s="9">
        <v>117000</v>
      </c>
      <c r="J175" s="8" t="s">
        <v>73</v>
      </c>
    </row>
    <row r="176" spans="2:10" ht="22.8" hidden="1" x14ac:dyDescent="0.25">
      <c r="B176" s="7" t="s">
        <v>263</v>
      </c>
      <c r="C176" s="8" t="s">
        <v>43</v>
      </c>
      <c r="D176" s="13" t="s">
        <v>16</v>
      </c>
      <c r="E176" s="14">
        <v>37214</v>
      </c>
      <c r="F176" s="14">
        <v>37242</v>
      </c>
      <c r="G176" s="14">
        <v>37222</v>
      </c>
      <c r="H176" s="13" t="s">
        <v>12</v>
      </c>
      <c r="I176" s="9">
        <v>233000</v>
      </c>
      <c r="J176" s="8" t="s">
        <v>77</v>
      </c>
    </row>
    <row r="177" spans="2:10" ht="22.8" hidden="1" x14ac:dyDescent="0.25">
      <c r="B177" s="7" t="s">
        <v>264</v>
      </c>
      <c r="C177" s="8" t="s">
        <v>27</v>
      </c>
      <c r="D177" s="13" t="s">
        <v>19</v>
      </c>
      <c r="E177" s="14">
        <v>37215</v>
      </c>
      <c r="F177" s="14">
        <v>37243</v>
      </c>
      <c r="G177" s="14">
        <v>37218</v>
      </c>
      <c r="H177" s="13" t="s">
        <v>12</v>
      </c>
      <c r="I177" s="9">
        <v>79000</v>
      </c>
      <c r="J177" s="8" t="s">
        <v>76</v>
      </c>
    </row>
    <row r="178" spans="2:10" ht="22.8" hidden="1" x14ac:dyDescent="0.25">
      <c r="B178" s="7" t="s">
        <v>265</v>
      </c>
      <c r="C178" s="8" t="s">
        <v>18</v>
      </c>
      <c r="D178" s="13" t="s">
        <v>16</v>
      </c>
      <c r="E178" s="14">
        <v>37218</v>
      </c>
      <c r="F178" s="14">
        <v>37246</v>
      </c>
      <c r="G178" s="14">
        <v>37227</v>
      </c>
      <c r="H178" s="13" t="s">
        <v>9</v>
      </c>
      <c r="I178" s="9">
        <v>131000</v>
      </c>
      <c r="J178" s="8" t="s">
        <v>66</v>
      </c>
    </row>
    <row r="179" spans="2:10" ht="22.8" hidden="1" x14ac:dyDescent="0.25">
      <c r="B179" s="24" t="s">
        <v>266</v>
      </c>
      <c r="C179" s="8" t="s">
        <v>29</v>
      </c>
      <c r="D179" s="13" t="s">
        <v>25</v>
      </c>
      <c r="E179" s="14">
        <v>37221</v>
      </c>
      <c r="F179" s="14">
        <v>37249</v>
      </c>
      <c r="G179" s="14">
        <v>37226</v>
      </c>
      <c r="H179" s="13" t="s">
        <v>14</v>
      </c>
      <c r="I179" s="9">
        <v>73000</v>
      </c>
      <c r="J179" s="8" t="s">
        <v>70</v>
      </c>
    </row>
    <row r="180" spans="2:10" ht="22.8" hidden="1" x14ac:dyDescent="0.25">
      <c r="B180" s="7" t="s">
        <v>267</v>
      </c>
      <c r="C180" s="8" t="s">
        <v>43</v>
      </c>
      <c r="D180" s="13" t="s">
        <v>11</v>
      </c>
      <c r="E180" s="14">
        <v>37221</v>
      </c>
      <c r="F180" s="14">
        <v>37249</v>
      </c>
      <c r="G180" s="14">
        <v>37239</v>
      </c>
      <c r="H180" s="13" t="s">
        <v>12</v>
      </c>
      <c r="I180" s="9">
        <v>8000</v>
      </c>
      <c r="J180" s="8" t="s">
        <v>77</v>
      </c>
    </row>
    <row r="181" spans="2:10" ht="22.8" hidden="1" x14ac:dyDescent="0.25">
      <c r="B181" s="7" t="s">
        <v>268</v>
      </c>
      <c r="C181" s="8" t="s">
        <v>18</v>
      </c>
      <c r="D181" s="13" t="s">
        <v>16</v>
      </c>
      <c r="E181" s="14">
        <v>37222</v>
      </c>
      <c r="F181" s="14">
        <v>37250</v>
      </c>
      <c r="G181" s="14">
        <v>37228</v>
      </c>
      <c r="H181" s="13" t="s">
        <v>9</v>
      </c>
      <c r="I181" s="9">
        <v>138000</v>
      </c>
      <c r="J181" s="8" t="s">
        <v>66</v>
      </c>
    </row>
    <row r="182" spans="2:10" ht="22.8" hidden="1" x14ac:dyDescent="0.25">
      <c r="B182" s="7" t="s">
        <v>269</v>
      </c>
      <c r="C182" s="8" t="s">
        <v>24</v>
      </c>
      <c r="D182" s="13" t="s">
        <v>8</v>
      </c>
      <c r="E182" s="14">
        <v>37226</v>
      </c>
      <c r="F182" s="14">
        <v>37254</v>
      </c>
      <c r="G182" s="14">
        <v>37232</v>
      </c>
      <c r="H182" s="13" t="s">
        <v>14</v>
      </c>
      <c r="I182" s="9">
        <v>19000</v>
      </c>
      <c r="J182" s="8" t="s">
        <v>84</v>
      </c>
    </row>
    <row r="183" spans="2:10" ht="22.8" hidden="1" x14ac:dyDescent="0.25">
      <c r="B183" s="7" t="s">
        <v>270</v>
      </c>
      <c r="C183" s="8" t="s">
        <v>30</v>
      </c>
      <c r="D183" s="13" t="s">
        <v>16</v>
      </c>
      <c r="E183" s="14">
        <v>37228</v>
      </c>
      <c r="F183" s="14">
        <v>37256</v>
      </c>
      <c r="G183" s="14">
        <v>37233</v>
      </c>
      <c r="H183" s="13" t="s">
        <v>9</v>
      </c>
      <c r="I183" s="9">
        <v>43000</v>
      </c>
      <c r="J183" s="8" t="s">
        <v>68</v>
      </c>
    </row>
    <row r="184" spans="2:10" ht="22.8" hidden="1" x14ac:dyDescent="0.25">
      <c r="B184" s="7" t="s">
        <v>271</v>
      </c>
      <c r="C184" s="8" t="s">
        <v>22</v>
      </c>
      <c r="D184" s="13" t="s">
        <v>13</v>
      </c>
      <c r="E184" s="14">
        <v>37229</v>
      </c>
      <c r="F184" s="14">
        <v>37257</v>
      </c>
      <c r="G184" s="14">
        <v>37233</v>
      </c>
      <c r="H184" s="13" t="s">
        <v>12</v>
      </c>
      <c r="I184" s="9">
        <v>158000</v>
      </c>
      <c r="J184" s="8" t="s">
        <v>86</v>
      </c>
    </row>
    <row r="185" spans="2:10" ht="22.8" hidden="1" x14ac:dyDescent="0.25">
      <c r="B185" s="7" t="s">
        <v>272</v>
      </c>
      <c r="C185" s="8" t="s">
        <v>17</v>
      </c>
      <c r="D185" s="13" t="s">
        <v>13</v>
      </c>
      <c r="E185" s="14">
        <v>37229</v>
      </c>
      <c r="F185" s="14">
        <v>37257</v>
      </c>
      <c r="G185" s="14">
        <v>37239</v>
      </c>
      <c r="H185" s="13" t="s">
        <v>9</v>
      </c>
      <c r="I185" s="9">
        <v>2000</v>
      </c>
      <c r="J185" s="8" t="s">
        <v>65</v>
      </c>
    </row>
    <row r="186" spans="2:10" ht="22.8" hidden="1" x14ac:dyDescent="0.25">
      <c r="B186" s="7" t="s">
        <v>273</v>
      </c>
      <c r="C186" s="8" t="s">
        <v>58</v>
      </c>
      <c r="D186" s="13" t="s">
        <v>36</v>
      </c>
      <c r="E186" s="14">
        <v>37236</v>
      </c>
      <c r="F186" s="14">
        <v>37264</v>
      </c>
      <c r="G186" s="14">
        <v>37250</v>
      </c>
      <c r="H186" s="13" t="s">
        <v>12</v>
      </c>
      <c r="I186" s="9">
        <v>20000</v>
      </c>
      <c r="J186" s="8" t="s">
        <v>98</v>
      </c>
    </row>
    <row r="187" spans="2:10" ht="22.8" hidden="1" x14ac:dyDescent="0.25">
      <c r="B187" s="7" t="s">
        <v>274</v>
      </c>
      <c r="C187" s="8" t="s">
        <v>53</v>
      </c>
      <c r="D187" s="13" t="s">
        <v>36</v>
      </c>
      <c r="E187" s="14">
        <v>37239</v>
      </c>
      <c r="F187" s="14">
        <v>37253</v>
      </c>
      <c r="G187" s="14">
        <v>37276</v>
      </c>
      <c r="H187" s="13" t="s">
        <v>14</v>
      </c>
      <c r="I187" s="9">
        <v>3000</v>
      </c>
      <c r="J187" s="8" t="s">
        <v>99</v>
      </c>
    </row>
    <row r="188" spans="2:10" ht="22.8" hidden="1" x14ac:dyDescent="0.25">
      <c r="B188" s="7" t="s">
        <v>275</v>
      </c>
      <c r="C188" s="8" t="s">
        <v>32</v>
      </c>
      <c r="D188" s="13" t="s">
        <v>16</v>
      </c>
      <c r="E188" s="14">
        <v>37240</v>
      </c>
      <c r="F188" s="14">
        <v>37268</v>
      </c>
      <c r="G188" s="14">
        <v>37269</v>
      </c>
      <c r="H188" s="13" t="s">
        <v>14</v>
      </c>
      <c r="I188" s="9">
        <v>58000</v>
      </c>
      <c r="J188" s="8" t="s">
        <v>95</v>
      </c>
    </row>
    <row r="189" spans="2:10" ht="22.8" hidden="1" x14ac:dyDescent="0.25">
      <c r="B189" s="7" t="s">
        <v>276</v>
      </c>
      <c r="C189" s="8" t="s">
        <v>27</v>
      </c>
      <c r="D189" s="13" t="s">
        <v>26</v>
      </c>
      <c r="E189" s="14">
        <v>37241</v>
      </c>
      <c r="F189" s="14">
        <v>37269</v>
      </c>
      <c r="G189" s="14">
        <v>37243</v>
      </c>
      <c r="H189" s="13" t="s">
        <v>9</v>
      </c>
      <c r="I189" s="9">
        <v>73000</v>
      </c>
      <c r="J189" s="8" t="s">
        <v>76</v>
      </c>
    </row>
    <row r="190" spans="2:10" ht="22.8" hidden="1" x14ac:dyDescent="0.25">
      <c r="B190" s="24" t="s">
        <v>277</v>
      </c>
      <c r="C190" s="8" t="s">
        <v>49</v>
      </c>
      <c r="D190" s="13" t="s">
        <v>25</v>
      </c>
      <c r="E190" s="14">
        <v>37243</v>
      </c>
      <c r="F190" s="14">
        <v>37271</v>
      </c>
      <c r="G190" s="14">
        <v>37247</v>
      </c>
      <c r="H190" s="13" t="s">
        <v>12</v>
      </c>
      <c r="I190" s="9">
        <v>111000</v>
      </c>
      <c r="J190" s="8" t="s">
        <v>71</v>
      </c>
    </row>
    <row r="191" spans="2:10" ht="22.8" hidden="1" x14ac:dyDescent="0.25">
      <c r="B191" s="7" t="s">
        <v>278</v>
      </c>
      <c r="C191" s="8" t="s">
        <v>30</v>
      </c>
      <c r="D191" s="13" t="s">
        <v>21</v>
      </c>
      <c r="E191" s="14">
        <v>37246</v>
      </c>
      <c r="F191" s="14">
        <v>37274</v>
      </c>
      <c r="G191" s="14">
        <v>37274</v>
      </c>
      <c r="H191" s="13" t="s">
        <v>14</v>
      </c>
      <c r="I191" s="9">
        <v>43000</v>
      </c>
      <c r="J191" s="8" t="s">
        <v>68</v>
      </c>
    </row>
    <row r="192" spans="2:10" ht="22.8" hidden="1" x14ac:dyDescent="0.25">
      <c r="B192" s="7" t="s">
        <v>279</v>
      </c>
      <c r="C192" s="8" t="s">
        <v>53</v>
      </c>
      <c r="D192" s="13" t="s">
        <v>11</v>
      </c>
      <c r="E192" s="14">
        <v>37246</v>
      </c>
      <c r="F192" s="14">
        <v>37274</v>
      </c>
      <c r="G192" s="14">
        <v>37250</v>
      </c>
      <c r="H192" s="13" t="s">
        <v>12</v>
      </c>
      <c r="I192" s="9">
        <v>28000</v>
      </c>
      <c r="J192" s="8" t="s">
        <v>99</v>
      </c>
    </row>
    <row r="193" spans="2:10" ht="22.8" x14ac:dyDescent="0.25">
      <c r="B193" s="7" t="s">
        <v>280</v>
      </c>
      <c r="C193" s="8" t="s">
        <v>50</v>
      </c>
      <c r="D193" s="13" t="s">
        <v>21</v>
      </c>
      <c r="E193" s="14">
        <v>37247</v>
      </c>
      <c r="F193" s="14">
        <v>37275</v>
      </c>
      <c r="G193" s="14">
        <v>37255</v>
      </c>
      <c r="H193" s="13" t="s">
        <v>9</v>
      </c>
      <c r="I193" s="9">
        <v>24000</v>
      </c>
      <c r="J193" s="8" t="s">
        <v>72</v>
      </c>
    </row>
    <row r="194" spans="2:10" ht="22.8" hidden="1" x14ac:dyDescent="0.25">
      <c r="B194" s="7" t="s">
        <v>281</v>
      </c>
      <c r="C194" s="8" t="s">
        <v>23</v>
      </c>
      <c r="D194" s="13" t="s">
        <v>11</v>
      </c>
      <c r="E194" s="14">
        <v>37248</v>
      </c>
      <c r="F194" s="14">
        <v>37276</v>
      </c>
      <c r="G194" s="14">
        <v>37257</v>
      </c>
      <c r="H194" s="13" t="s">
        <v>12</v>
      </c>
      <c r="I194" s="9">
        <v>21000</v>
      </c>
      <c r="J194" s="8" t="s">
        <v>96</v>
      </c>
    </row>
    <row r="195" spans="2:10" ht="22.8" x14ac:dyDescent="0.25">
      <c r="B195" s="7" t="s">
        <v>282</v>
      </c>
      <c r="C195" s="8" t="s">
        <v>47</v>
      </c>
      <c r="D195" s="13" t="s">
        <v>21</v>
      </c>
      <c r="E195" s="14">
        <v>37250</v>
      </c>
      <c r="F195" s="14">
        <v>37278</v>
      </c>
      <c r="G195" s="14">
        <v>37260</v>
      </c>
      <c r="H195" s="13" t="s">
        <v>9</v>
      </c>
      <c r="I195" s="9">
        <v>137000</v>
      </c>
      <c r="J195" s="8" t="s">
        <v>82</v>
      </c>
    </row>
    <row r="196" spans="2:10" ht="22.8" hidden="1" x14ac:dyDescent="0.25">
      <c r="B196" s="7" t="s">
        <v>283</v>
      </c>
      <c r="C196" s="8" t="s">
        <v>45</v>
      </c>
      <c r="D196" s="13" t="s">
        <v>13</v>
      </c>
      <c r="E196" s="14">
        <v>37253</v>
      </c>
      <c r="F196" s="14">
        <v>37281</v>
      </c>
      <c r="G196" s="14">
        <v>37257</v>
      </c>
      <c r="H196" s="13" t="s">
        <v>14</v>
      </c>
      <c r="I196" s="9">
        <v>257000</v>
      </c>
      <c r="J196" s="8" t="s">
        <v>93</v>
      </c>
    </row>
    <row r="197" spans="2:10" ht="22.8" hidden="1" x14ac:dyDescent="0.25">
      <c r="B197" s="7" t="s">
        <v>284</v>
      </c>
      <c r="C197" s="8" t="s">
        <v>20</v>
      </c>
      <c r="D197" s="13" t="s">
        <v>13</v>
      </c>
      <c r="E197" s="14">
        <v>37254</v>
      </c>
      <c r="F197" s="14">
        <v>37282</v>
      </c>
      <c r="G197" s="14">
        <v>37261</v>
      </c>
      <c r="H197" s="13" t="s">
        <v>12</v>
      </c>
      <c r="I197" s="9">
        <v>55000</v>
      </c>
      <c r="J197" s="8" t="s">
        <v>67</v>
      </c>
    </row>
    <row r="198" spans="2:10" ht="22.8" hidden="1" x14ac:dyDescent="0.25">
      <c r="B198" s="7" t="s">
        <v>285</v>
      </c>
      <c r="C198" s="8" t="s">
        <v>47</v>
      </c>
      <c r="D198" s="13" t="s">
        <v>11</v>
      </c>
      <c r="E198" s="14">
        <v>37254</v>
      </c>
      <c r="F198" s="14">
        <v>37282</v>
      </c>
      <c r="G198" s="14">
        <v>37262</v>
      </c>
      <c r="H198" s="13" t="s">
        <v>14</v>
      </c>
      <c r="I198" s="9">
        <v>27000</v>
      </c>
      <c r="J198" s="8" t="s">
        <v>82</v>
      </c>
    </row>
    <row r="199" spans="2:10" ht="22.8" hidden="1" x14ac:dyDescent="0.25">
      <c r="B199" s="7" t="s">
        <v>286</v>
      </c>
      <c r="C199" s="8" t="s">
        <v>41</v>
      </c>
      <c r="D199" s="13" t="s">
        <v>26</v>
      </c>
      <c r="E199" s="14">
        <v>37254</v>
      </c>
      <c r="F199" s="14">
        <v>37282</v>
      </c>
      <c r="G199" s="14">
        <v>37264</v>
      </c>
      <c r="H199" s="13" t="s">
        <v>9</v>
      </c>
      <c r="I199" s="9">
        <v>237000</v>
      </c>
      <c r="J199" s="8" t="s">
        <v>100</v>
      </c>
    </row>
    <row r="200" spans="2:10" ht="22.8" hidden="1" x14ac:dyDescent="0.25">
      <c r="B200" s="7" t="s">
        <v>287</v>
      </c>
      <c r="C200" s="8" t="s">
        <v>15</v>
      </c>
      <c r="D200" s="13" t="s">
        <v>16</v>
      </c>
      <c r="E200" s="14">
        <v>37255</v>
      </c>
      <c r="F200" s="14">
        <v>37283</v>
      </c>
      <c r="G200" s="14">
        <v>37260</v>
      </c>
      <c r="H200" s="13" t="s">
        <v>14</v>
      </c>
      <c r="I200" s="9">
        <v>22000</v>
      </c>
      <c r="J200" s="8" t="s">
        <v>64</v>
      </c>
    </row>
    <row r="201" spans="2:10" ht="22.8" hidden="1" x14ac:dyDescent="0.25">
      <c r="B201" s="7" t="s">
        <v>288</v>
      </c>
      <c r="C201" s="8" t="s">
        <v>40</v>
      </c>
      <c r="D201" s="13" t="s">
        <v>26</v>
      </c>
      <c r="E201" s="14">
        <v>37256</v>
      </c>
      <c r="F201" s="14">
        <v>37284</v>
      </c>
      <c r="G201" s="14">
        <v>37264</v>
      </c>
      <c r="H201" s="13" t="s">
        <v>9</v>
      </c>
      <c r="I201" s="9">
        <v>46000</v>
      </c>
      <c r="J201" s="8" t="s">
        <v>78</v>
      </c>
    </row>
    <row r="202" spans="2:10" ht="22.8" hidden="1" x14ac:dyDescent="0.25">
      <c r="B202" s="7" t="s">
        <v>289</v>
      </c>
      <c r="C202" s="8" t="s">
        <v>20</v>
      </c>
      <c r="D202" s="13" t="s">
        <v>36</v>
      </c>
      <c r="E202" s="14">
        <v>37256</v>
      </c>
      <c r="F202" s="14">
        <v>37284</v>
      </c>
      <c r="G202" s="14">
        <v>37262</v>
      </c>
      <c r="H202" s="13" t="s">
        <v>12</v>
      </c>
      <c r="I202" s="9">
        <v>5000</v>
      </c>
      <c r="J202" s="8" t="s">
        <v>67</v>
      </c>
    </row>
    <row r="203" spans="2:10" ht="22.8" hidden="1" x14ac:dyDescent="0.25">
      <c r="B203" s="7" t="s">
        <v>290</v>
      </c>
      <c r="C203" s="8" t="s">
        <v>35</v>
      </c>
      <c r="D203" s="13" t="s">
        <v>8</v>
      </c>
      <c r="E203" s="14">
        <v>37257</v>
      </c>
      <c r="F203" s="14">
        <v>37285</v>
      </c>
      <c r="G203" s="14">
        <v>37267</v>
      </c>
      <c r="H203" s="13" t="s">
        <v>12</v>
      </c>
      <c r="I203" s="9">
        <v>60000</v>
      </c>
      <c r="J203" s="8" t="s">
        <v>74</v>
      </c>
    </row>
    <row r="204" spans="2:10" ht="22.8" hidden="1" x14ac:dyDescent="0.25">
      <c r="B204" s="7" t="s">
        <v>291</v>
      </c>
      <c r="C204" s="8" t="s">
        <v>34</v>
      </c>
      <c r="D204" s="13" t="s">
        <v>21</v>
      </c>
      <c r="E204" s="14">
        <v>37260</v>
      </c>
      <c r="F204" s="14">
        <v>37288</v>
      </c>
      <c r="G204" s="14">
        <v>37264</v>
      </c>
      <c r="H204" s="13" t="s">
        <v>12</v>
      </c>
      <c r="I204" s="9">
        <v>47000</v>
      </c>
      <c r="J204" s="8" t="s">
        <v>79</v>
      </c>
    </row>
    <row r="205" spans="2:10" ht="22.8" hidden="1" x14ac:dyDescent="0.25">
      <c r="B205" s="7" t="s">
        <v>292</v>
      </c>
      <c r="C205" s="8" t="s">
        <v>15</v>
      </c>
      <c r="D205" s="13" t="s">
        <v>16</v>
      </c>
      <c r="E205" s="14">
        <v>37260</v>
      </c>
      <c r="F205" s="14">
        <v>37288</v>
      </c>
      <c r="G205" s="14">
        <v>37269</v>
      </c>
      <c r="H205" s="13" t="s">
        <v>9</v>
      </c>
      <c r="I205" s="9">
        <v>131000</v>
      </c>
      <c r="J205" s="8" t="s">
        <v>64</v>
      </c>
    </row>
    <row r="206" spans="2:10" ht="22.8" hidden="1" x14ac:dyDescent="0.25">
      <c r="B206" s="7" t="s">
        <v>293</v>
      </c>
      <c r="C206" s="8" t="s">
        <v>43</v>
      </c>
      <c r="D206" s="13" t="s">
        <v>26</v>
      </c>
      <c r="E206" s="14">
        <v>37260</v>
      </c>
      <c r="F206" s="14">
        <v>37288</v>
      </c>
      <c r="G206" s="14">
        <v>37269</v>
      </c>
      <c r="H206" s="13" t="s">
        <v>9</v>
      </c>
      <c r="I206" s="9">
        <v>15000</v>
      </c>
      <c r="J206" s="8" t="s">
        <v>77</v>
      </c>
    </row>
    <row r="207" spans="2:10" ht="22.8" hidden="1" x14ac:dyDescent="0.25">
      <c r="B207" s="7" t="s">
        <v>294</v>
      </c>
      <c r="C207" s="8" t="s">
        <v>55</v>
      </c>
      <c r="D207" s="13" t="s">
        <v>13</v>
      </c>
      <c r="E207" s="14">
        <v>37261</v>
      </c>
      <c r="F207" s="14">
        <v>37289</v>
      </c>
      <c r="G207" s="14">
        <v>37290</v>
      </c>
      <c r="H207" s="13" t="s">
        <v>14</v>
      </c>
      <c r="I207" s="9">
        <v>720000</v>
      </c>
      <c r="J207" s="8" t="s">
        <v>90</v>
      </c>
    </row>
    <row r="208" spans="2:10" ht="22.8" hidden="1" x14ac:dyDescent="0.25">
      <c r="B208" s="7" t="s">
        <v>295</v>
      </c>
      <c r="C208" s="8" t="s">
        <v>24</v>
      </c>
      <c r="D208" s="13" t="s">
        <v>16</v>
      </c>
      <c r="E208" s="14">
        <v>37262</v>
      </c>
      <c r="F208" s="14">
        <v>37290</v>
      </c>
      <c r="G208" s="14">
        <v>37268</v>
      </c>
      <c r="H208" s="13" t="s">
        <v>14</v>
      </c>
      <c r="I208" s="9">
        <v>38000</v>
      </c>
      <c r="J208" s="8" t="s">
        <v>84</v>
      </c>
    </row>
    <row r="209" spans="2:10" ht="22.8" hidden="1" x14ac:dyDescent="0.25">
      <c r="B209" s="7" t="s">
        <v>296</v>
      </c>
      <c r="C209" s="8" t="s">
        <v>29</v>
      </c>
      <c r="D209" s="13" t="s">
        <v>21</v>
      </c>
      <c r="E209" s="14">
        <v>37263</v>
      </c>
      <c r="F209" s="14">
        <v>37291</v>
      </c>
      <c r="G209" s="14">
        <v>37270</v>
      </c>
      <c r="H209" s="13" t="s">
        <v>12</v>
      </c>
      <c r="I209" s="9">
        <v>37000</v>
      </c>
      <c r="J209" s="8" t="s">
        <v>70</v>
      </c>
    </row>
    <row r="210" spans="2:10" ht="22.8" hidden="1" x14ac:dyDescent="0.25">
      <c r="B210" s="7" t="s">
        <v>297</v>
      </c>
      <c r="C210" s="8" t="s">
        <v>56</v>
      </c>
      <c r="D210" s="13" t="s">
        <v>11</v>
      </c>
      <c r="E210" s="14">
        <v>37263</v>
      </c>
      <c r="F210" s="14">
        <v>37291</v>
      </c>
      <c r="G210" s="14">
        <v>37271</v>
      </c>
      <c r="H210" s="13" t="s">
        <v>9</v>
      </c>
      <c r="I210" s="9">
        <v>7000</v>
      </c>
      <c r="J210" s="8" t="s">
        <v>94</v>
      </c>
    </row>
    <row r="211" spans="2:10" ht="22.8" hidden="1" x14ac:dyDescent="0.25">
      <c r="B211" s="7" t="s">
        <v>298</v>
      </c>
      <c r="C211" s="8" t="s">
        <v>54</v>
      </c>
      <c r="D211" s="13" t="s">
        <v>19</v>
      </c>
      <c r="E211" s="14">
        <v>37268</v>
      </c>
      <c r="F211" s="14">
        <v>37282</v>
      </c>
      <c r="G211" s="14">
        <v>37290</v>
      </c>
      <c r="H211" s="13" t="s">
        <v>12</v>
      </c>
      <c r="I211" s="9">
        <v>91000</v>
      </c>
      <c r="J211" s="8" t="s">
        <v>80</v>
      </c>
    </row>
    <row r="212" spans="2:10" ht="22.8" hidden="1" x14ac:dyDescent="0.25">
      <c r="B212" s="7" t="s">
        <v>299</v>
      </c>
      <c r="C212" s="8" t="s">
        <v>37</v>
      </c>
      <c r="D212" s="13" t="s">
        <v>13</v>
      </c>
      <c r="E212" s="14">
        <v>37268</v>
      </c>
      <c r="F212" s="14">
        <v>37310</v>
      </c>
      <c r="G212" s="14">
        <v>37276</v>
      </c>
      <c r="H212" s="13" t="s">
        <v>14</v>
      </c>
      <c r="I212" s="9">
        <v>82000</v>
      </c>
      <c r="J212" s="8" t="s">
        <v>85</v>
      </c>
    </row>
    <row r="213" spans="2:10" ht="22.8" hidden="1" x14ac:dyDescent="0.25">
      <c r="B213" s="7" t="s">
        <v>300</v>
      </c>
      <c r="C213" s="8" t="s">
        <v>51</v>
      </c>
      <c r="D213" s="13" t="s">
        <v>16</v>
      </c>
      <c r="E213" s="14">
        <v>37269</v>
      </c>
      <c r="F213" s="14">
        <v>37297</v>
      </c>
      <c r="G213" s="14">
        <v>37278</v>
      </c>
      <c r="H213" s="13" t="s">
        <v>14</v>
      </c>
      <c r="I213" s="9">
        <v>72000</v>
      </c>
      <c r="J213" s="8" t="s">
        <v>89</v>
      </c>
    </row>
    <row r="214" spans="2:10" ht="22.8" hidden="1" x14ac:dyDescent="0.25">
      <c r="B214" s="7" t="s">
        <v>301</v>
      </c>
      <c r="C214" s="8" t="s">
        <v>22</v>
      </c>
      <c r="D214" s="13" t="s">
        <v>11</v>
      </c>
      <c r="E214" s="14">
        <v>37270</v>
      </c>
      <c r="F214" s="14">
        <v>37298</v>
      </c>
      <c r="G214" s="14">
        <v>37278</v>
      </c>
      <c r="H214" s="13" t="s">
        <v>14</v>
      </c>
      <c r="I214" s="9">
        <v>71000</v>
      </c>
      <c r="J214" s="8" t="s">
        <v>86</v>
      </c>
    </row>
    <row r="215" spans="2:10" ht="22.8" x14ac:dyDescent="0.25">
      <c r="B215" s="7" t="s">
        <v>302</v>
      </c>
      <c r="C215" s="8" t="s">
        <v>37</v>
      </c>
      <c r="D215" s="13" t="s">
        <v>21</v>
      </c>
      <c r="E215" s="14">
        <v>37270</v>
      </c>
      <c r="F215" s="14">
        <v>37298</v>
      </c>
      <c r="G215" s="14">
        <v>37274</v>
      </c>
      <c r="H215" s="13" t="s">
        <v>9</v>
      </c>
      <c r="I215" s="9">
        <v>30000</v>
      </c>
      <c r="J215" s="8" t="s">
        <v>85</v>
      </c>
    </row>
    <row r="216" spans="2:10" ht="22.8" hidden="1" x14ac:dyDescent="0.25">
      <c r="B216" s="7" t="s">
        <v>303</v>
      </c>
      <c r="C216" s="8" t="s">
        <v>7</v>
      </c>
      <c r="D216" s="13" t="s">
        <v>21</v>
      </c>
      <c r="E216" s="14">
        <v>37270</v>
      </c>
      <c r="F216" s="14">
        <v>37298</v>
      </c>
      <c r="G216" s="14">
        <v>37276</v>
      </c>
      <c r="H216" s="13" t="s">
        <v>12</v>
      </c>
      <c r="I216" s="9">
        <v>70000</v>
      </c>
      <c r="J216" s="8" t="s">
        <v>62</v>
      </c>
    </row>
    <row r="217" spans="2:10" ht="22.8" hidden="1" x14ac:dyDescent="0.25">
      <c r="B217" s="7" t="s">
        <v>304</v>
      </c>
      <c r="C217" s="8" t="s">
        <v>37</v>
      </c>
      <c r="D217" s="13" t="s">
        <v>16</v>
      </c>
      <c r="E217" s="14">
        <v>37274</v>
      </c>
      <c r="F217" s="14">
        <v>37302</v>
      </c>
      <c r="G217" s="14">
        <v>37277</v>
      </c>
      <c r="H217" s="13" t="s">
        <v>9</v>
      </c>
      <c r="I217" s="9">
        <v>35000</v>
      </c>
      <c r="J217" s="8" t="s">
        <v>85</v>
      </c>
    </row>
    <row r="218" spans="2:10" ht="22.8" hidden="1" x14ac:dyDescent="0.25">
      <c r="B218" s="7" t="s">
        <v>305</v>
      </c>
      <c r="C218" s="8" t="s">
        <v>17</v>
      </c>
      <c r="D218" s="13" t="s">
        <v>8</v>
      </c>
      <c r="E218" s="14">
        <v>37275</v>
      </c>
      <c r="F218" s="14">
        <v>37303</v>
      </c>
      <c r="G218" s="14">
        <v>37284</v>
      </c>
      <c r="H218" s="13" t="s">
        <v>14</v>
      </c>
      <c r="I218" s="9">
        <v>424000</v>
      </c>
      <c r="J218" s="8" t="s">
        <v>65</v>
      </c>
    </row>
    <row r="219" spans="2:10" ht="22.8" x14ac:dyDescent="0.25">
      <c r="B219" s="7" t="s">
        <v>306</v>
      </c>
      <c r="C219" s="8" t="s">
        <v>31</v>
      </c>
      <c r="D219" s="13" t="s">
        <v>21</v>
      </c>
      <c r="E219" s="14">
        <v>37275</v>
      </c>
      <c r="F219" s="14">
        <v>37303</v>
      </c>
      <c r="G219" s="14">
        <v>37284</v>
      </c>
      <c r="H219" s="13" t="s">
        <v>9</v>
      </c>
      <c r="I219" s="9">
        <v>54000</v>
      </c>
      <c r="J219" s="8" t="s">
        <v>88</v>
      </c>
    </row>
    <row r="220" spans="2:10" ht="22.8" hidden="1" x14ac:dyDescent="0.25">
      <c r="B220" s="7" t="s">
        <v>307</v>
      </c>
      <c r="C220" s="8" t="s">
        <v>15</v>
      </c>
      <c r="D220" s="13" t="s">
        <v>13</v>
      </c>
      <c r="E220" s="14">
        <v>37276</v>
      </c>
      <c r="F220" s="14">
        <v>37304</v>
      </c>
      <c r="G220" s="14">
        <v>37281</v>
      </c>
      <c r="H220" s="13" t="s">
        <v>14</v>
      </c>
      <c r="I220" s="9">
        <v>9000</v>
      </c>
      <c r="J220" s="8" t="s">
        <v>64</v>
      </c>
    </row>
    <row r="221" spans="2:10" ht="22.8" hidden="1" x14ac:dyDescent="0.25">
      <c r="B221" s="24" t="s">
        <v>308</v>
      </c>
      <c r="C221" s="8" t="s">
        <v>46</v>
      </c>
      <c r="D221" s="13" t="s">
        <v>25</v>
      </c>
      <c r="E221" s="14">
        <v>37276</v>
      </c>
      <c r="F221" s="14">
        <v>37304</v>
      </c>
      <c r="G221" s="14">
        <v>37281</v>
      </c>
      <c r="H221" s="13" t="s">
        <v>14</v>
      </c>
      <c r="I221" s="9">
        <v>25000</v>
      </c>
      <c r="J221" s="8" t="s">
        <v>73</v>
      </c>
    </row>
    <row r="222" spans="2:10" ht="22.8" hidden="1" x14ac:dyDescent="0.25">
      <c r="B222" s="24" t="s">
        <v>309</v>
      </c>
      <c r="C222" s="8" t="s">
        <v>30</v>
      </c>
      <c r="D222" s="13" t="s">
        <v>25</v>
      </c>
      <c r="E222" s="14">
        <v>37276</v>
      </c>
      <c r="F222" s="14">
        <v>37290</v>
      </c>
      <c r="G222" s="14">
        <v>37285</v>
      </c>
      <c r="H222" s="13" t="s">
        <v>12</v>
      </c>
      <c r="I222" s="9">
        <v>213000</v>
      </c>
      <c r="J222" s="8" t="s">
        <v>68</v>
      </c>
    </row>
    <row r="223" spans="2:10" ht="22.8" hidden="1" x14ac:dyDescent="0.25">
      <c r="B223" s="7" t="s">
        <v>310</v>
      </c>
      <c r="C223" s="8" t="s">
        <v>17</v>
      </c>
      <c r="D223" s="13" t="s">
        <v>26</v>
      </c>
      <c r="E223" s="14">
        <v>37277</v>
      </c>
      <c r="F223" s="14">
        <v>37319</v>
      </c>
      <c r="G223" s="14">
        <v>37278</v>
      </c>
      <c r="H223" s="13" t="s">
        <v>9</v>
      </c>
      <c r="I223" s="9">
        <v>56000</v>
      </c>
      <c r="J223" s="8" t="s">
        <v>65</v>
      </c>
    </row>
    <row r="224" spans="2:10" ht="22.8" hidden="1" x14ac:dyDescent="0.25">
      <c r="B224" s="7" t="s">
        <v>311</v>
      </c>
      <c r="C224" s="8" t="s">
        <v>43</v>
      </c>
      <c r="D224" s="13" t="s">
        <v>13</v>
      </c>
      <c r="E224" s="14">
        <v>37277</v>
      </c>
      <c r="F224" s="14">
        <v>37291</v>
      </c>
      <c r="G224" s="14">
        <v>37296</v>
      </c>
      <c r="H224" s="13" t="s">
        <v>9</v>
      </c>
      <c r="I224" s="9">
        <v>488000</v>
      </c>
      <c r="J224" s="8" t="s">
        <v>77</v>
      </c>
    </row>
    <row r="225" spans="2:10" ht="22.8" hidden="1" x14ac:dyDescent="0.25">
      <c r="B225" s="7" t="s">
        <v>312</v>
      </c>
      <c r="C225" s="8" t="s">
        <v>15</v>
      </c>
      <c r="D225" s="13" t="s">
        <v>21</v>
      </c>
      <c r="E225" s="14">
        <v>37278</v>
      </c>
      <c r="F225" s="14">
        <v>37320</v>
      </c>
      <c r="G225" s="14">
        <v>37285</v>
      </c>
      <c r="H225" s="13" t="s">
        <v>12</v>
      </c>
      <c r="I225" s="9">
        <v>49000</v>
      </c>
      <c r="J225" s="8" t="s">
        <v>64</v>
      </c>
    </row>
    <row r="226" spans="2:10" ht="22.8" hidden="1" x14ac:dyDescent="0.25">
      <c r="B226" s="7" t="s">
        <v>313</v>
      </c>
      <c r="C226" s="8" t="s">
        <v>34</v>
      </c>
      <c r="D226" s="13" t="s">
        <v>8</v>
      </c>
      <c r="E226" s="14">
        <v>37281</v>
      </c>
      <c r="F226" s="14">
        <v>37309</v>
      </c>
      <c r="G226" s="14">
        <v>37288</v>
      </c>
      <c r="H226" s="13" t="s">
        <v>12</v>
      </c>
      <c r="I226" s="9">
        <v>161000</v>
      </c>
      <c r="J226" s="8" t="s">
        <v>79</v>
      </c>
    </row>
    <row r="227" spans="2:10" ht="22.8" hidden="1" x14ac:dyDescent="0.25">
      <c r="B227" s="24" t="s">
        <v>314</v>
      </c>
      <c r="C227" s="8" t="s">
        <v>24</v>
      </c>
      <c r="D227" s="13" t="s">
        <v>25</v>
      </c>
      <c r="E227" s="14">
        <v>37281</v>
      </c>
      <c r="F227" s="14">
        <v>37295</v>
      </c>
      <c r="G227" s="14">
        <v>37285</v>
      </c>
      <c r="H227" s="13" t="s">
        <v>12</v>
      </c>
      <c r="I227" s="9">
        <v>174000</v>
      </c>
      <c r="J227" s="8" t="s">
        <v>84</v>
      </c>
    </row>
    <row r="228" spans="2:10" ht="22.8" hidden="1" x14ac:dyDescent="0.25">
      <c r="B228" s="7" t="s">
        <v>315</v>
      </c>
      <c r="C228" s="8" t="s">
        <v>40</v>
      </c>
      <c r="D228" s="13" t="s">
        <v>16</v>
      </c>
      <c r="E228" s="14">
        <v>37282</v>
      </c>
      <c r="F228" s="14">
        <v>37310</v>
      </c>
      <c r="G228" s="14">
        <v>37290</v>
      </c>
      <c r="H228" s="13" t="s">
        <v>12</v>
      </c>
      <c r="I228" s="9">
        <v>171000</v>
      </c>
      <c r="J228" s="8" t="s">
        <v>78</v>
      </c>
    </row>
    <row r="229" spans="2:10" ht="22.8" hidden="1" x14ac:dyDescent="0.25">
      <c r="B229" s="7" t="s">
        <v>316</v>
      </c>
      <c r="C229" s="8" t="s">
        <v>60</v>
      </c>
      <c r="D229" s="13" t="s">
        <v>26</v>
      </c>
      <c r="E229" s="14">
        <v>37284</v>
      </c>
      <c r="F229" s="14">
        <v>37312</v>
      </c>
      <c r="G229" s="14">
        <v>37289</v>
      </c>
      <c r="H229" s="13" t="s">
        <v>12</v>
      </c>
      <c r="I229" s="9">
        <v>53000</v>
      </c>
      <c r="J229" s="8" t="s">
        <v>102</v>
      </c>
    </row>
    <row r="230" spans="2:10" ht="22.8" hidden="1" x14ac:dyDescent="0.25">
      <c r="B230" s="7" t="s">
        <v>317</v>
      </c>
      <c r="C230" s="8" t="s">
        <v>28</v>
      </c>
      <c r="D230" s="13" t="s">
        <v>13</v>
      </c>
      <c r="E230" s="14">
        <v>37285</v>
      </c>
      <c r="F230" s="14">
        <v>37313</v>
      </c>
      <c r="G230" s="14">
        <v>37303</v>
      </c>
      <c r="H230" s="13" t="s">
        <v>14</v>
      </c>
      <c r="I230" s="9">
        <v>15000</v>
      </c>
      <c r="J230" s="8" t="s">
        <v>81</v>
      </c>
    </row>
    <row r="231" spans="2:10" ht="22.8" hidden="1" x14ac:dyDescent="0.25">
      <c r="B231" s="7" t="s">
        <v>318</v>
      </c>
      <c r="C231" s="8" t="s">
        <v>30</v>
      </c>
      <c r="D231" s="13" t="s">
        <v>26</v>
      </c>
      <c r="E231" s="14">
        <v>37288</v>
      </c>
      <c r="F231" s="14">
        <v>37302</v>
      </c>
      <c r="G231" s="14">
        <v>37298</v>
      </c>
      <c r="H231" s="13" t="s">
        <v>12</v>
      </c>
      <c r="I231" s="9">
        <v>348000</v>
      </c>
      <c r="J231" s="8" t="s">
        <v>68</v>
      </c>
    </row>
    <row r="232" spans="2:10" ht="22.8" hidden="1" x14ac:dyDescent="0.25">
      <c r="B232" s="7" t="s">
        <v>319</v>
      </c>
      <c r="C232" s="8" t="s">
        <v>49</v>
      </c>
      <c r="D232" s="13" t="s">
        <v>36</v>
      </c>
      <c r="E232" s="14">
        <v>37290</v>
      </c>
      <c r="F232" s="14">
        <v>37318</v>
      </c>
      <c r="G232" s="14">
        <v>37309</v>
      </c>
      <c r="H232" s="13" t="s">
        <v>14</v>
      </c>
      <c r="I232" s="9">
        <v>191000</v>
      </c>
      <c r="J232" s="8" t="s">
        <v>71</v>
      </c>
    </row>
    <row r="233" spans="2:10" ht="22.8" hidden="1" x14ac:dyDescent="0.25">
      <c r="B233" s="7" t="s">
        <v>320</v>
      </c>
      <c r="C233" s="8" t="s">
        <v>47</v>
      </c>
      <c r="D233" s="13" t="s">
        <v>8</v>
      </c>
      <c r="E233" s="14">
        <v>37290</v>
      </c>
      <c r="F233" s="14">
        <v>37318</v>
      </c>
      <c r="G233" s="14">
        <v>37295</v>
      </c>
      <c r="H233" s="13" t="s">
        <v>12</v>
      </c>
      <c r="I233" s="9">
        <v>143000</v>
      </c>
      <c r="J233" s="8" t="s">
        <v>82</v>
      </c>
    </row>
    <row r="234" spans="2:10" ht="22.8" hidden="1" x14ac:dyDescent="0.25">
      <c r="B234" s="7" t="s">
        <v>321</v>
      </c>
      <c r="C234" s="8" t="s">
        <v>50</v>
      </c>
      <c r="D234" s="13" t="s">
        <v>8</v>
      </c>
      <c r="E234" s="14">
        <v>37290</v>
      </c>
      <c r="F234" s="14">
        <v>37318</v>
      </c>
      <c r="G234" s="14">
        <v>37299</v>
      </c>
      <c r="H234" s="13" t="s">
        <v>9</v>
      </c>
      <c r="I234" s="9">
        <v>12000</v>
      </c>
      <c r="J234" s="8" t="s">
        <v>72</v>
      </c>
    </row>
    <row r="235" spans="2:10" ht="22.8" hidden="1" x14ac:dyDescent="0.25">
      <c r="B235" s="7" t="s">
        <v>322</v>
      </c>
      <c r="C235" s="8" t="s">
        <v>39</v>
      </c>
      <c r="D235" s="13" t="s">
        <v>8</v>
      </c>
      <c r="E235" s="14">
        <v>37291</v>
      </c>
      <c r="F235" s="14">
        <v>37319</v>
      </c>
      <c r="G235" s="14">
        <v>37295</v>
      </c>
      <c r="H235" s="13" t="s">
        <v>14</v>
      </c>
      <c r="I235" s="9">
        <v>175000</v>
      </c>
      <c r="J235" s="8" t="s">
        <v>92</v>
      </c>
    </row>
    <row r="236" spans="2:10" ht="22.8" hidden="1" x14ac:dyDescent="0.25">
      <c r="B236" s="7" t="s">
        <v>323</v>
      </c>
      <c r="C236" s="8" t="s">
        <v>57</v>
      </c>
      <c r="D236" s="13" t="s">
        <v>13</v>
      </c>
      <c r="E236" s="14">
        <v>37292</v>
      </c>
      <c r="F236" s="14">
        <v>37320</v>
      </c>
      <c r="G236" s="14">
        <v>37295</v>
      </c>
      <c r="H236" s="13" t="s">
        <v>12</v>
      </c>
      <c r="I236" s="9">
        <v>1000</v>
      </c>
      <c r="J236" s="8" t="s">
        <v>97</v>
      </c>
    </row>
    <row r="237" spans="2:10" ht="22.8" hidden="1" x14ac:dyDescent="0.25">
      <c r="B237" s="7" t="s">
        <v>324</v>
      </c>
      <c r="C237" s="8" t="s">
        <v>39</v>
      </c>
      <c r="D237" s="13" t="s">
        <v>8</v>
      </c>
      <c r="E237" s="14">
        <v>37292</v>
      </c>
      <c r="F237" s="14">
        <v>37320</v>
      </c>
      <c r="G237" s="14">
        <v>37297</v>
      </c>
      <c r="H237" s="13" t="s">
        <v>14</v>
      </c>
      <c r="I237" s="9">
        <v>20000</v>
      </c>
      <c r="J237" s="8" t="s">
        <v>92</v>
      </c>
    </row>
    <row r="238" spans="2:10" ht="22.8" hidden="1" x14ac:dyDescent="0.25">
      <c r="B238" s="7" t="s">
        <v>325</v>
      </c>
      <c r="C238" s="8" t="s">
        <v>34</v>
      </c>
      <c r="D238" s="13" t="s">
        <v>21</v>
      </c>
      <c r="E238" s="14">
        <v>37295</v>
      </c>
      <c r="F238" s="14">
        <v>37323</v>
      </c>
      <c r="G238" s="14">
        <v>37305</v>
      </c>
      <c r="H238" s="13" t="s">
        <v>12</v>
      </c>
      <c r="I238" s="9">
        <v>38000</v>
      </c>
      <c r="J238" s="8" t="s">
        <v>79</v>
      </c>
    </row>
    <row r="239" spans="2:10" ht="22.8" hidden="1" x14ac:dyDescent="0.25">
      <c r="B239" s="7" t="s">
        <v>326</v>
      </c>
      <c r="C239" s="8" t="s">
        <v>30</v>
      </c>
      <c r="D239" s="13" t="s">
        <v>13</v>
      </c>
      <c r="E239" s="14">
        <v>37296</v>
      </c>
      <c r="F239" s="14">
        <v>37324</v>
      </c>
      <c r="G239" s="14">
        <v>37298</v>
      </c>
      <c r="H239" s="13" t="s">
        <v>12</v>
      </c>
      <c r="I239" s="9">
        <v>47000</v>
      </c>
      <c r="J239" s="8" t="s">
        <v>68</v>
      </c>
    </row>
    <row r="240" spans="2:10" ht="22.8" hidden="1" x14ac:dyDescent="0.25">
      <c r="B240" s="7" t="s">
        <v>327</v>
      </c>
      <c r="C240" s="8" t="s">
        <v>57</v>
      </c>
      <c r="D240" s="13" t="s">
        <v>16</v>
      </c>
      <c r="E240" s="14">
        <v>37296</v>
      </c>
      <c r="F240" s="14">
        <v>37324</v>
      </c>
      <c r="G240" s="14">
        <v>37298</v>
      </c>
      <c r="H240" s="13" t="s">
        <v>9</v>
      </c>
      <c r="I240" s="9">
        <v>9000</v>
      </c>
      <c r="J240" s="8" t="s">
        <v>97</v>
      </c>
    </row>
    <row r="241" spans="2:10" ht="22.8" hidden="1" x14ac:dyDescent="0.25">
      <c r="B241" s="7" t="s">
        <v>328</v>
      </c>
      <c r="C241" s="8" t="s">
        <v>43</v>
      </c>
      <c r="D241" s="13" t="s">
        <v>13</v>
      </c>
      <c r="E241" s="14">
        <v>37297</v>
      </c>
      <c r="F241" s="14">
        <v>37325</v>
      </c>
      <c r="G241" s="14">
        <v>37306</v>
      </c>
      <c r="H241" s="13" t="s">
        <v>9</v>
      </c>
      <c r="I241" s="9">
        <v>23000</v>
      </c>
      <c r="J241" s="8" t="s">
        <v>77</v>
      </c>
    </row>
    <row r="242" spans="2:10" ht="22.8" hidden="1" x14ac:dyDescent="0.25">
      <c r="B242" s="7" t="s">
        <v>329</v>
      </c>
      <c r="C242" s="8" t="s">
        <v>17</v>
      </c>
      <c r="D242" s="13" t="s">
        <v>11</v>
      </c>
      <c r="E242" s="14">
        <v>37298</v>
      </c>
      <c r="F242" s="14">
        <v>37326</v>
      </c>
      <c r="G242" s="14">
        <v>37304</v>
      </c>
      <c r="H242" s="13" t="s">
        <v>9</v>
      </c>
      <c r="I242" s="9">
        <v>6000</v>
      </c>
      <c r="J242" s="8" t="s">
        <v>65</v>
      </c>
    </row>
    <row r="243" spans="2:10" ht="22.8" hidden="1" x14ac:dyDescent="0.25">
      <c r="B243" s="24" t="s">
        <v>330</v>
      </c>
      <c r="C243" s="8" t="s">
        <v>48</v>
      </c>
      <c r="D243" s="13" t="s">
        <v>25</v>
      </c>
      <c r="E243" s="14">
        <v>37299</v>
      </c>
      <c r="F243" s="14">
        <v>37327</v>
      </c>
      <c r="G243" s="14">
        <v>37302</v>
      </c>
      <c r="H243" s="13" t="s">
        <v>9</v>
      </c>
      <c r="I243" s="9">
        <v>1000</v>
      </c>
      <c r="J243" s="8" t="s">
        <v>69</v>
      </c>
    </row>
    <row r="244" spans="2:10" ht="22.8" hidden="1" x14ac:dyDescent="0.25">
      <c r="B244" s="7" t="s">
        <v>331</v>
      </c>
      <c r="C244" s="8" t="s">
        <v>39</v>
      </c>
      <c r="D244" s="13" t="s">
        <v>21</v>
      </c>
      <c r="E244" s="14">
        <v>37302</v>
      </c>
      <c r="F244" s="14">
        <v>37330</v>
      </c>
      <c r="G244" s="14">
        <v>37309</v>
      </c>
      <c r="H244" s="13" t="s">
        <v>14</v>
      </c>
      <c r="I244" s="9">
        <v>52000</v>
      </c>
      <c r="J244" s="8" t="s">
        <v>92</v>
      </c>
    </row>
    <row r="245" spans="2:10" ht="22.8" hidden="1" x14ac:dyDescent="0.25">
      <c r="B245" s="7" t="s">
        <v>332</v>
      </c>
      <c r="C245" s="8" t="s">
        <v>24</v>
      </c>
      <c r="D245" s="13" t="s">
        <v>19</v>
      </c>
      <c r="E245" s="14">
        <v>37302</v>
      </c>
      <c r="F245" s="14">
        <v>37330</v>
      </c>
      <c r="G245" s="14">
        <v>37309</v>
      </c>
      <c r="H245" s="13" t="s">
        <v>9</v>
      </c>
      <c r="I245" s="9">
        <v>281000</v>
      </c>
      <c r="J245" s="8" t="s">
        <v>84</v>
      </c>
    </row>
    <row r="246" spans="2:10" ht="22.8" hidden="1" x14ac:dyDescent="0.25">
      <c r="B246" s="7" t="s">
        <v>333</v>
      </c>
      <c r="C246" s="8" t="s">
        <v>43</v>
      </c>
      <c r="D246" s="13" t="s">
        <v>21</v>
      </c>
      <c r="E246" s="14">
        <v>37304</v>
      </c>
      <c r="F246" s="14">
        <v>37332</v>
      </c>
      <c r="G246" s="14">
        <v>37306</v>
      </c>
      <c r="H246" s="13" t="s">
        <v>12</v>
      </c>
      <c r="I246" s="9">
        <v>116000</v>
      </c>
      <c r="J246" s="8" t="s">
        <v>77</v>
      </c>
    </row>
    <row r="247" spans="2:10" ht="22.8" hidden="1" x14ac:dyDescent="0.25">
      <c r="B247" s="7" t="s">
        <v>334</v>
      </c>
      <c r="C247" s="8" t="s">
        <v>52</v>
      </c>
      <c r="D247" s="13" t="s">
        <v>13</v>
      </c>
      <c r="E247" s="14">
        <v>37306</v>
      </c>
      <c r="F247" s="14">
        <v>37334</v>
      </c>
      <c r="G247" s="14">
        <v>37320</v>
      </c>
      <c r="H247" s="13" t="s">
        <v>14</v>
      </c>
      <c r="I247" s="9">
        <v>1000</v>
      </c>
      <c r="J247" s="8" t="s">
        <v>91</v>
      </c>
    </row>
    <row r="248" spans="2:10" ht="22.8" hidden="1" x14ac:dyDescent="0.25">
      <c r="B248" s="7" t="s">
        <v>335</v>
      </c>
      <c r="C248" s="8" t="s">
        <v>20</v>
      </c>
      <c r="D248" s="13" t="s">
        <v>21</v>
      </c>
      <c r="E248" s="14">
        <v>37306</v>
      </c>
      <c r="F248" s="14">
        <v>37334</v>
      </c>
      <c r="G248" s="14">
        <v>37318</v>
      </c>
      <c r="H248" s="13" t="s">
        <v>14</v>
      </c>
      <c r="I248" s="9">
        <v>2000</v>
      </c>
      <c r="J248" s="8" t="s">
        <v>67</v>
      </c>
    </row>
    <row r="249" spans="2:10" ht="22.8" hidden="1" x14ac:dyDescent="0.25">
      <c r="B249" s="7" t="s">
        <v>336</v>
      </c>
      <c r="C249" s="8" t="s">
        <v>28</v>
      </c>
      <c r="D249" s="13" t="s">
        <v>16</v>
      </c>
      <c r="E249" s="14">
        <v>37310</v>
      </c>
      <c r="F249" s="14">
        <v>37338</v>
      </c>
      <c r="G249" s="14">
        <v>37313</v>
      </c>
      <c r="H249" s="13" t="s">
        <v>9</v>
      </c>
      <c r="I249" s="9">
        <v>163000</v>
      </c>
      <c r="J249" s="8" t="s">
        <v>81</v>
      </c>
    </row>
    <row r="250" spans="2:10" ht="22.8" hidden="1" x14ac:dyDescent="0.25">
      <c r="B250" s="7" t="s">
        <v>337</v>
      </c>
      <c r="C250" s="8" t="s">
        <v>20</v>
      </c>
      <c r="D250" s="13" t="s">
        <v>19</v>
      </c>
      <c r="E250" s="14">
        <v>37310</v>
      </c>
      <c r="F250" s="14">
        <v>37338</v>
      </c>
      <c r="G250" s="14">
        <v>37320</v>
      </c>
      <c r="H250" s="13" t="s">
        <v>14</v>
      </c>
      <c r="I250" s="9">
        <v>14000</v>
      </c>
      <c r="J250" s="8" t="s">
        <v>67</v>
      </c>
    </row>
    <row r="251" spans="2:10" ht="22.8" hidden="1" x14ac:dyDescent="0.25">
      <c r="B251" s="7" t="s">
        <v>338</v>
      </c>
      <c r="C251" s="8" t="s">
        <v>31</v>
      </c>
      <c r="D251" s="13" t="s">
        <v>26</v>
      </c>
      <c r="E251" s="14">
        <v>37313</v>
      </c>
      <c r="F251" s="14">
        <v>37341</v>
      </c>
      <c r="G251" s="14">
        <v>37316</v>
      </c>
      <c r="H251" s="13" t="s">
        <v>14</v>
      </c>
      <c r="I251" s="9">
        <v>4000</v>
      </c>
      <c r="J251" s="8" t="s">
        <v>88</v>
      </c>
    </row>
    <row r="252" spans="2:10" ht="22.8" hidden="1" x14ac:dyDescent="0.25">
      <c r="B252" s="7" t="s">
        <v>339</v>
      </c>
      <c r="C252" s="8" t="s">
        <v>54</v>
      </c>
      <c r="D252" s="13" t="s">
        <v>21</v>
      </c>
      <c r="E252" s="14">
        <v>37313</v>
      </c>
      <c r="F252" s="14">
        <v>37341</v>
      </c>
      <c r="G252" s="14">
        <v>37323</v>
      </c>
      <c r="H252" s="13" t="s">
        <v>14</v>
      </c>
      <c r="I252" s="9">
        <v>64000</v>
      </c>
      <c r="J252" s="8" t="s">
        <v>80</v>
      </c>
    </row>
    <row r="253" spans="2:10" ht="22.8" hidden="1" x14ac:dyDescent="0.25">
      <c r="B253" s="7" t="s">
        <v>340</v>
      </c>
      <c r="C253" s="8" t="s">
        <v>33</v>
      </c>
      <c r="D253" s="13" t="s">
        <v>13</v>
      </c>
      <c r="E253" s="14">
        <v>37316</v>
      </c>
      <c r="F253" s="14">
        <v>37344</v>
      </c>
      <c r="G253" s="14">
        <v>37325</v>
      </c>
      <c r="H253" s="13" t="s">
        <v>14</v>
      </c>
      <c r="I253" s="9">
        <v>8000</v>
      </c>
      <c r="J253" s="8" t="s">
        <v>103</v>
      </c>
    </row>
    <row r="254" spans="2:10" ht="22.8" hidden="1" x14ac:dyDescent="0.25">
      <c r="B254" s="7" t="s">
        <v>341</v>
      </c>
      <c r="C254" s="8" t="s">
        <v>60</v>
      </c>
      <c r="D254" s="13" t="s">
        <v>13</v>
      </c>
      <c r="E254" s="14">
        <v>37319</v>
      </c>
      <c r="F254" s="14">
        <v>37347</v>
      </c>
      <c r="G254" s="14"/>
      <c r="H254" s="13" t="s">
        <v>12</v>
      </c>
      <c r="I254" s="9">
        <v>20000</v>
      </c>
      <c r="J254" s="8" t="s">
        <v>102</v>
      </c>
    </row>
    <row r="255" spans="2:10" ht="22.8" hidden="1" x14ac:dyDescent="0.25">
      <c r="B255" s="7" t="s">
        <v>342</v>
      </c>
      <c r="C255" s="8" t="s">
        <v>48</v>
      </c>
      <c r="D255" s="13" t="s">
        <v>21</v>
      </c>
      <c r="E255" s="14">
        <v>37319</v>
      </c>
      <c r="F255" s="14">
        <v>37347</v>
      </c>
      <c r="G255" s="14">
        <v>37332</v>
      </c>
      <c r="H255" s="13" t="s">
        <v>12</v>
      </c>
      <c r="I255" s="9">
        <v>1000</v>
      </c>
      <c r="J255" s="8" t="s">
        <v>69</v>
      </c>
    </row>
    <row r="256" spans="2:10" ht="22.8" hidden="1" x14ac:dyDescent="0.25">
      <c r="B256" s="7" t="s">
        <v>343</v>
      </c>
      <c r="C256" s="8" t="s">
        <v>17</v>
      </c>
      <c r="D256" s="13" t="s">
        <v>13</v>
      </c>
      <c r="E256" s="14">
        <v>37320</v>
      </c>
      <c r="F256" s="14">
        <v>37362</v>
      </c>
      <c r="G256" s="14">
        <v>37332</v>
      </c>
      <c r="H256" s="13" t="s">
        <v>9</v>
      </c>
      <c r="I256" s="9">
        <v>16000</v>
      </c>
      <c r="J256" s="8" t="s">
        <v>65</v>
      </c>
    </row>
    <row r="257" spans="2:10" ht="22.8" hidden="1" x14ac:dyDescent="0.25">
      <c r="B257" s="7" t="s">
        <v>344</v>
      </c>
      <c r="C257" s="8" t="s">
        <v>18</v>
      </c>
      <c r="D257" s="13" t="s">
        <v>13</v>
      </c>
      <c r="E257" s="14">
        <v>37320</v>
      </c>
      <c r="F257" s="14">
        <v>37334</v>
      </c>
      <c r="G257" s="14">
        <v>37333</v>
      </c>
      <c r="H257" s="13" t="s">
        <v>14</v>
      </c>
      <c r="I257" s="9">
        <v>14000</v>
      </c>
      <c r="J257" s="8" t="s">
        <v>66</v>
      </c>
    </row>
    <row r="258" spans="2:10" ht="22.8" hidden="1" x14ac:dyDescent="0.25">
      <c r="B258" s="7" t="s">
        <v>345</v>
      </c>
      <c r="C258" s="8" t="s">
        <v>20</v>
      </c>
      <c r="D258" s="13" t="s">
        <v>13</v>
      </c>
      <c r="E258" s="14">
        <v>37323</v>
      </c>
      <c r="F258" s="14">
        <v>37351</v>
      </c>
      <c r="G258" s="14">
        <v>37332</v>
      </c>
      <c r="H258" s="13" t="s">
        <v>9</v>
      </c>
      <c r="I258" s="9">
        <v>48000</v>
      </c>
      <c r="J258" s="8" t="s">
        <v>67</v>
      </c>
    </row>
    <row r="259" spans="2:10" ht="22.8" hidden="1" x14ac:dyDescent="0.25">
      <c r="B259" s="7" t="s">
        <v>346</v>
      </c>
      <c r="C259" s="8" t="s">
        <v>55</v>
      </c>
      <c r="D259" s="13" t="s">
        <v>16</v>
      </c>
      <c r="E259" s="14">
        <v>37323</v>
      </c>
      <c r="F259" s="14">
        <v>37351</v>
      </c>
      <c r="G259" s="14">
        <v>37332</v>
      </c>
      <c r="H259" s="13" t="s">
        <v>14</v>
      </c>
      <c r="I259" s="9">
        <v>34000</v>
      </c>
      <c r="J259" s="8" t="s">
        <v>90</v>
      </c>
    </row>
    <row r="260" spans="2:10" ht="22.8" hidden="1" x14ac:dyDescent="0.25">
      <c r="B260" s="7" t="s">
        <v>347</v>
      </c>
      <c r="C260" s="8" t="s">
        <v>30</v>
      </c>
      <c r="D260" s="13" t="s">
        <v>16</v>
      </c>
      <c r="E260" s="14">
        <v>37324</v>
      </c>
      <c r="F260" s="14">
        <v>37352</v>
      </c>
      <c r="G260" s="14">
        <v>37330</v>
      </c>
      <c r="H260" s="13" t="s">
        <v>14</v>
      </c>
      <c r="I260" s="9">
        <v>32000</v>
      </c>
      <c r="J260" s="8" t="s">
        <v>68</v>
      </c>
    </row>
    <row r="261" spans="2:10" ht="22.8" hidden="1" x14ac:dyDescent="0.25">
      <c r="B261" s="7" t="s">
        <v>348</v>
      </c>
      <c r="C261" s="8" t="s">
        <v>43</v>
      </c>
      <c r="D261" s="13" t="s">
        <v>36</v>
      </c>
      <c r="E261" s="14">
        <v>37325</v>
      </c>
      <c r="F261" s="14">
        <v>37353</v>
      </c>
      <c r="G261" s="14"/>
      <c r="H261" s="13" t="s">
        <v>14</v>
      </c>
      <c r="I261" s="9">
        <v>401000</v>
      </c>
      <c r="J261" s="8" t="s">
        <v>77</v>
      </c>
    </row>
    <row r="262" spans="2:10" ht="22.8" hidden="1" x14ac:dyDescent="0.25">
      <c r="B262" s="7" t="s">
        <v>349</v>
      </c>
      <c r="C262" s="8" t="s">
        <v>53</v>
      </c>
      <c r="D262" s="13" t="s">
        <v>11</v>
      </c>
      <c r="E262" s="14">
        <v>37332</v>
      </c>
      <c r="F262" s="14">
        <v>37374</v>
      </c>
      <c r="G262" s="14"/>
      <c r="H262" s="13" t="s">
        <v>14</v>
      </c>
      <c r="I262" s="9">
        <v>5000</v>
      </c>
      <c r="J262" s="8" t="s">
        <v>99</v>
      </c>
    </row>
    <row r="263" spans="2:10" ht="22.8" hidden="1" x14ac:dyDescent="0.25">
      <c r="B263" s="24" t="s">
        <v>350</v>
      </c>
      <c r="C263" s="8" t="s">
        <v>49</v>
      </c>
      <c r="D263" s="13" t="s">
        <v>25</v>
      </c>
      <c r="E263" s="14">
        <v>37333</v>
      </c>
      <c r="F263" s="14">
        <v>37361</v>
      </c>
      <c r="G263" s="14"/>
      <c r="H263" s="13" t="s">
        <v>12</v>
      </c>
      <c r="I263" s="9">
        <v>104000</v>
      </c>
      <c r="J263" s="8" t="s">
        <v>71</v>
      </c>
    </row>
    <row r="264" spans="2:10" ht="22.8" hidden="1" x14ac:dyDescent="0.25">
      <c r="B264" s="24" t="s">
        <v>351</v>
      </c>
      <c r="C264" s="8" t="s">
        <v>30</v>
      </c>
      <c r="D264" s="13" t="s">
        <v>25</v>
      </c>
      <c r="E264" s="14">
        <v>37333</v>
      </c>
      <c r="F264" s="14">
        <v>37361</v>
      </c>
      <c r="G264" s="14"/>
      <c r="H264" s="13" t="s">
        <v>14</v>
      </c>
      <c r="I264" s="9">
        <v>276000</v>
      </c>
      <c r="J264" s="8" t="s">
        <v>68</v>
      </c>
    </row>
    <row r="265" spans="2:10" ht="22.8" hidden="1" x14ac:dyDescent="0.25">
      <c r="B265" s="7" t="s">
        <v>352</v>
      </c>
      <c r="C265" s="8" t="s">
        <v>59</v>
      </c>
      <c r="D265" s="13" t="s">
        <v>16</v>
      </c>
      <c r="E265" s="14">
        <v>37334</v>
      </c>
      <c r="F265" s="14">
        <v>37362</v>
      </c>
      <c r="G265" s="14"/>
      <c r="H265" s="13" t="s">
        <v>14</v>
      </c>
      <c r="I265" s="9">
        <v>87000</v>
      </c>
      <c r="J265" s="8" t="s">
        <v>101</v>
      </c>
    </row>
    <row r="266" spans="2:10" ht="22.8" hidden="1" x14ac:dyDescent="0.25">
      <c r="B266" s="7" t="s">
        <v>353</v>
      </c>
      <c r="C266" s="8" t="s">
        <v>40</v>
      </c>
      <c r="D266" s="13" t="s">
        <v>11</v>
      </c>
      <c r="E266" s="14">
        <v>37334</v>
      </c>
      <c r="F266" s="14">
        <v>37362</v>
      </c>
      <c r="G266" s="14"/>
      <c r="H266" s="13" t="s">
        <v>9</v>
      </c>
      <c r="I266" s="9">
        <v>144000</v>
      </c>
      <c r="J266" s="8" t="s">
        <v>78</v>
      </c>
    </row>
    <row r="267" spans="2:10" ht="22.8" hidden="1" x14ac:dyDescent="0.25">
      <c r="B267" s="7" t="s">
        <v>354</v>
      </c>
      <c r="C267" s="8" t="s">
        <v>10</v>
      </c>
      <c r="D267" s="13" t="s">
        <v>26</v>
      </c>
      <c r="E267" s="14">
        <v>37337</v>
      </c>
      <c r="F267" s="14">
        <v>37365</v>
      </c>
      <c r="G267" s="14"/>
      <c r="H267" s="13" t="s">
        <v>14</v>
      </c>
      <c r="I267" s="9">
        <v>62000</v>
      </c>
      <c r="J267" s="8" t="s">
        <v>63</v>
      </c>
    </row>
    <row r="268" spans="2:10" ht="22.8" hidden="1" x14ac:dyDescent="0.25">
      <c r="B268" s="7" t="s">
        <v>355</v>
      </c>
      <c r="C268" s="8" t="s">
        <v>60</v>
      </c>
      <c r="D268" s="13" t="s">
        <v>13</v>
      </c>
      <c r="E268" s="14">
        <v>37338</v>
      </c>
      <c r="F268" s="14">
        <v>37366</v>
      </c>
      <c r="G268" s="14"/>
      <c r="H268" s="13" t="s">
        <v>14</v>
      </c>
      <c r="I268" s="9">
        <v>0.02</v>
      </c>
      <c r="J268" s="8" t="s">
        <v>102</v>
      </c>
    </row>
    <row r="269" spans="2:10" ht="22.8" hidden="1" x14ac:dyDescent="0.25">
      <c r="B269" s="7" t="s">
        <v>356</v>
      </c>
      <c r="C269" s="8" t="s">
        <v>60</v>
      </c>
      <c r="D269" s="13" t="s">
        <v>11</v>
      </c>
      <c r="E269" s="14">
        <v>37338</v>
      </c>
      <c r="F269" s="14">
        <v>37366</v>
      </c>
      <c r="G269" s="14"/>
      <c r="H269" s="13" t="s">
        <v>14</v>
      </c>
      <c r="I269" s="9">
        <v>15000</v>
      </c>
      <c r="J269" s="8" t="s">
        <v>102</v>
      </c>
    </row>
    <row r="270" spans="2:10" ht="22.8" hidden="1" x14ac:dyDescent="0.25">
      <c r="B270" s="7" t="s">
        <v>357</v>
      </c>
      <c r="C270" s="8" t="s">
        <v>29</v>
      </c>
      <c r="D270" s="13" t="s">
        <v>16</v>
      </c>
      <c r="E270" s="14">
        <v>37339</v>
      </c>
      <c r="F270" s="14">
        <v>37353</v>
      </c>
      <c r="G270" s="14"/>
      <c r="H270" s="13" t="s">
        <v>9</v>
      </c>
      <c r="I270" s="9">
        <v>13000</v>
      </c>
      <c r="J270" s="8" t="s">
        <v>70</v>
      </c>
    </row>
    <row r="271" spans="2:10" ht="22.8" hidden="1" x14ac:dyDescent="0.25">
      <c r="B271" s="7" t="s">
        <v>358</v>
      </c>
      <c r="C271" s="8" t="s">
        <v>43</v>
      </c>
      <c r="D271" s="13" t="s">
        <v>26</v>
      </c>
      <c r="E271" s="14">
        <v>37341</v>
      </c>
      <c r="F271" s="14">
        <v>37369</v>
      </c>
      <c r="G271" s="14"/>
      <c r="H271" s="13" t="s">
        <v>14</v>
      </c>
      <c r="I271" s="9">
        <v>658000</v>
      </c>
      <c r="J271" s="8" t="s">
        <v>77</v>
      </c>
    </row>
    <row r="272" spans="2:10" ht="22.8" x14ac:dyDescent="0.25">
      <c r="B272" s="7" t="s">
        <v>359</v>
      </c>
      <c r="C272" s="8" t="s">
        <v>43</v>
      </c>
      <c r="D272" s="13" t="s">
        <v>21</v>
      </c>
      <c r="E272" s="14">
        <v>37344</v>
      </c>
      <c r="F272" s="14">
        <v>37372</v>
      </c>
      <c r="G272" s="14"/>
      <c r="H272" s="13" t="s">
        <v>9</v>
      </c>
      <c r="I272" s="9">
        <v>211000</v>
      </c>
      <c r="J272" s="8" t="s">
        <v>77</v>
      </c>
    </row>
    <row r="273" spans="2:10" ht="22.8" hidden="1" x14ac:dyDescent="0.25">
      <c r="B273" s="24" t="s">
        <v>360</v>
      </c>
      <c r="C273" s="8" t="s">
        <v>52</v>
      </c>
      <c r="D273" s="13" t="s">
        <v>25</v>
      </c>
      <c r="E273" s="14">
        <v>37344</v>
      </c>
      <c r="F273" s="14">
        <v>37372</v>
      </c>
      <c r="G273" s="14"/>
      <c r="H273" s="13" t="s">
        <v>14</v>
      </c>
      <c r="I273" s="9">
        <v>218000</v>
      </c>
      <c r="J273" s="8" t="s">
        <v>91</v>
      </c>
    </row>
    <row r="274" spans="2:10" ht="22.8" hidden="1" x14ac:dyDescent="0.25">
      <c r="B274" s="7" t="s">
        <v>361</v>
      </c>
      <c r="C274" s="8" t="s">
        <v>24</v>
      </c>
      <c r="D274" s="13" t="s">
        <v>16</v>
      </c>
      <c r="E274" s="14">
        <v>37345</v>
      </c>
      <c r="F274" s="14">
        <v>37373</v>
      </c>
      <c r="G274" s="14"/>
      <c r="H274" s="13" t="s">
        <v>14</v>
      </c>
      <c r="I274" s="9">
        <v>61000</v>
      </c>
      <c r="J274" s="8" t="s">
        <v>84</v>
      </c>
    </row>
    <row r="275" spans="2:10" ht="22.8" hidden="1" x14ac:dyDescent="0.25">
      <c r="B275" s="7" t="s">
        <v>362</v>
      </c>
      <c r="C275" s="8" t="s">
        <v>23</v>
      </c>
      <c r="D275" s="13" t="s">
        <v>26</v>
      </c>
      <c r="E275" s="14">
        <v>37345</v>
      </c>
      <c r="F275" s="14">
        <v>37373</v>
      </c>
      <c r="G275" s="14"/>
      <c r="H275" s="13" t="s">
        <v>12</v>
      </c>
      <c r="I275" s="9">
        <v>35000</v>
      </c>
      <c r="J275" s="8" t="s">
        <v>96</v>
      </c>
    </row>
    <row r="276" spans="2:10" ht="22.8" hidden="1" x14ac:dyDescent="0.25">
      <c r="B276" s="7" t="s">
        <v>363</v>
      </c>
      <c r="C276" s="8" t="s">
        <v>30</v>
      </c>
      <c r="D276" s="13" t="s">
        <v>21</v>
      </c>
      <c r="E276" s="14">
        <v>37346</v>
      </c>
      <c r="F276" s="14">
        <v>37374</v>
      </c>
      <c r="G276" s="14"/>
      <c r="H276" s="13" t="s">
        <v>12</v>
      </c>
      <c r="I276" s="9">
        <v>39000</v>
      </c>
      <c r="J276" s="8" t="s">
        <v>68</v>
      </c>
    </row>
    <row r="277" spans="2:10" ht="22.8" x14ac:dyDescent="0.25">
      <c r="B277" s="7" t="s">
        <v>364</v>
      </c>
      <c r="C277" s="8" t="s">
        <v>41</v>
      </c>
      <c r="D277" s="13" t="s">
        <v>21</v>
      </c>
      <c r="E277" s="14">
        <v>37346</v>
      </c>
      <c r="F277" s="14">
        <v>37374</v>
      </c>
      <c r="G277" s="14"/>
      <c r="H277" s="13" t="s">
        <v>9</v>
      </c>
      <c r="I277" s="9">
        <v>4000</v>
      </c>
      <c r="J277" s="8" t="s">
        <v>100</v>
      </c>
    </row>
    <row r="278" spans="2:10" ht="22.8" hidden="1" x14ac:dyDescent="0.25">
      <c r="B278" s="7" t="s">
        <v>365</v>
      </c>
      <c r="C278" s="8" t="s">
        <v>17</v>
      </c>
      <c r="D278" s="13" t="s">
        <v>21</v>
      </c>
      <c r="E278" s="14">
        <v>37366</v>
      </c>
      <c r="F278" s="14">
        <v>37394</v>
      </c>
      <c r="G278" s="14"/>
      <c r="H278" s="13" t="s">
        <v>14</v>
      </c>
      <c r="I278" s="9">
        <v>30000</v>
      </c>
      <c r="J278" s="8" t="s">
        <v>65</v>
      </c>
    </row>
    <row r="279" spans="2:10" ht="22.8" hidden="1" x14ac:dyDescent="0.25">
      <c r="B279" s="7" t="s">
        <v>366</v>
      </c>
      <c r="C279" s="8" t="s">
        <v>55</v>
      </c>
      <c r="D279" s="13" t="s">
        <v>13</v>
      </c>
      <c r="E279" s="14">
        <v>37367</v>
      </c>
      <c r="F279" s="14">
        <v>37395</v>
      </c>
      <c r="G279" s="14"/>
      <c r="H279" s="13" t="s">
        <v>9</v>
      </c>
      <c r="I279" s="9">
        <v>19000</v>
      </c>
      <c r="J279" s="8" t="s">
        <v>90</v>
      </c>
    </row>
    <row r="280" spans="2:10" ht="22.8" hidden="1" x14ac:dyDescent="0.25">
      <c r="B280" s="7" t="s">
        <v>367</v>
      </c>
      <c r="C280" s="8" t="s">
        <v>59</v>
      </c>
      <c r="D280" s="13" t="s">
        <v>8</v>
      </c>
      <c r="E280" s="14">
        <v>37367</v>
      </c>
      <c r="F280" s="14">
        <v>37395</v>
      </c>
      <c r="G280" s="14"/>
      <c r="H280" s="13" t="s">
        <v>14</v>
      </c>
      <c r="I280" s="9">
        <v>9000</v>
      </c>
      <c r="J280" s="8" t="s">
        <v>101</v>
      </c>
    </row>
    <row r="281" spans="2:10" ht="22.8" hidden="1" x14ac:dyDescent="0.25">
      <c r="B281" s="7" t="s">
        <v>368</v>
      </c>
      <c r="C281" s="8" t="s">
        <v>50</v>
      </c>
      <c r="D281" s="13" t="s">
        <v>13</v>
      </c>
      <c r="E281" s="14">
        <v>37368</v>
      </c>
      <c r="F281" s="14">
        <v>37396</v>
      </c>
      <c r="G281" s="14"/>
      <c r="H281" s="13" t="s">
        <v>12</v>
      </c>
      <c r="I281" s="9">
        <v>9000</v>
      </c>
      <c r="J281" s="8" t="s">
        <v>72</v>
      </c>
    </row>
    <row r="282" spans="2:10" ht="22.8" hidden="1" x14ac:dyDescent="0.25">
      <c r="B282" s="24" t="s">
        <v>369</v>
      </c>
      <c r="C282" s="8" t="s">
        <v>38</v>
      </c>
      <c r="D282" s="13" t="s">
        <v>25</v>
      </c>
      <c r="E282" s="14">
        <v>37368</v>
      </c>
      <c r="F282" s="14">
        <v>37396</v>
      </c>
      <c r="G282" s="14"/>
      <c r="H282" s="13" t="s">
        <v>14</v>
      </c>
      <c r="I282" s="9">
        <v>72000</v>
      </c>
      <c r="J282" s="8" t="s">
        <v>87</v>
      </c>
    </row>
    <row r="283" spans="2:10" ht="22.8" hidden="1" x14ac:dyDescent="0.25">
      <c r="B283" s="7" t="s">
        <v>370</v>
      </c>
      <c r="C283" s="8" t="s">
        <v>53</v>
      </c>
      <c r="D283" s="13" t="s">
        <v>16</v>
      </c>
      <c r="E283" s="14">
        <v>37369</v>
      </c>
      <c r="F283" s="14">
        <v>37397</v>
      </c>
      <c r="G283" s="14"/>
      <c r="H283" s="13" t="s">
        <v>12</v>
      </c>
      <c r="I283" s="9">
        <v>8000</v>
      </c>
      <c r="J283" s="8" t="s">
        <v>99</v>
      </c>
    </row>
    <row r="284" spans="2:10" ht="22.8" hidden="1" x14ac:dyDescent="0.25">
      <c r="B284" s="7" t="s">
        <v>371</v>
      </c>
      <c r="C284" s="8" t="s">
        <v>46</v>
      </c>
      <c r="D284" s="13" t="s">
        <v>26</v>
      </c>
      <c r="E284" s="14">
        <v>37372</v>
      </c>
      <c r="F284" s="14">
        <v>37400</v>
      </c>
      <c r="G284" s="14"/>
      <c r="H284" s="13" t="s">
        <v>14</v>
      </c>
      <c r="I284" s="9">
        <v>53000</v>
      </c>
      <c r="J284" s="8" t="s">
        <v>73</v>
      </c>
    </row>
    <row r="285" spans="2:10" ht="22.8" hidden="1" x14ac:dyDescent="0.25">
      <c r="B285" s="7" t="s">
        <v>372</v>
      </c>
      <c r="C285" s="8" t="s">
        <v>34</v>
      </c>
      <c r="D285" s="13" t="s">
        <v>26</v>
      </c>
      <c r="E285" s="14">
        <v>37374</v>
      </c>
      <c r="F285" s="14">
        <v>37416</v>
      </c>
      <c r="G285" s="14"/>
      <c r="H285" s="13" t="s">
        <v>14</v>
      </c>
      <c r="I285" s="9">
        <v>86000</v>
      </c>
      <c r="J285" s="8" t="s">
        <v>79</v>
      </c>
    </row>
    <row r="286" spans="2:10" ht="22.8" hidden="1" x14ac:dyDescent="0.25">
      <c r="B286" s="7" t="s">
        <v>373</v>
      </c>
      <c r="C286" s="8" t="s">
        <v>55</v>
      </c>
      <c r="D286" s="13" t="s">
        <v>13</v>
      </c>
      <c r="E286" s="14">
        <v>37375</v>
      </c>
      <c r="F286" s="14">
        <v>37417</v>
      </c>
      <c r="G286" s="14"/>
      <c r="H286" s="13" t="s">
        <v>9</v>
      </c>
      <c r="I286" s="9">
        <v>14000</v>
      </c>
      <c r="J286" s="8" t="s">
        <v>90</v>
      </c>
    </row>
    <row r="287" spans="2:10" ht="22.8" hidden="1" x14ac:dyDescent="0.25">
      <c r="B287" s="7" t="s">
        <v>374</v>
      </c>
      <c r="C287" s="8" t="s">
        <v>35</v>
      </c>
      <c r="D287" s="13" t="s">
        <v>13</v>
      </c>
      <c r="E287" s="14">
        <v>37375</v>
      </c>
      <c r="F287" s="14">
        <v>37403</v>
      </c>
      <c r="G287" s="14"/>
      <c r="H287" s="13" t="s">
        <v>14</v>
      </c>
      <c r="I287" s="9">
        <v>30000</v>
      </c>
      <c r="J287" s="8" t="s">
        <v>74</v>
      </c>
    </row>
    <row r="288" spans="2:10" ht="22.8" hidden="1" x14ac:dyDescent="0.25">
      <c r="B288" s="7" t="s">
        <v>375</v>
      </c>
      <c r="C288" s="8" t="s">
        <v>43</v>
      </c>
      <c r="D288" s="13" t="s">
        <v>21</v>
      </c>
      <c r="E288" s="14">
        <v>37376</v>
      </c>
      <c r="F288" s="14">
        <v>37404</v>
      </c>
      <c r="G288" s="14"/>
      <c r="H288" s="13" t="s">
        <v>12</v>
      </c>
      <c r="I288" s="9">
        <v>30000</v>
      </c>
      <c r="J288" s="8" t="s">
        <v>77</v>
      </c>
    </row>
    <row r="289" spans="2:10" ht="22.8" hidden="1" x14ac:dyDescent="0.25">
      <c r="B289" s="7" t="s">
        <v>376</v>
      </c>
      <c r="C289" s="8" t="s">
        <v>28</v>
      </c>
      <c r="D289" s="13" t="s">
        <v>36</v>
      </c>
      <c r="E289" s="14">
        <v>37376</v>
      </c>
      <c r="F289" s="14">
        <v>37404</v>
      </c>
      <c r="G289" s="14"/>
      <c r="H289" s="13" t="s">
        <v>14</v>
      </c>
      <c r="I289" s="9">
        <v>45000</v>
      </c>
      <c r="J289" s="8" t="s">
        <v>81</v>
      </c>
    </row>
    <row r="290" spans="2:10" ht="22.8" x14ac:dyDescent="0.25">
      <c r="B290" s="26"/>
      <c r="C290" s="5"/>
      <c r="D290" s="15" t="s">
        <v>21</v>
      </c>
      <c r="E290" s="16"/>
      <c r="F290" s="16"/>
      <c r="G290" s="16"/>
      <c r="H290" s="15" t="s">
        <v>9</v>
      </c>
      <c r="I290" s="6"/>
      <c r="J290" s="5"/>
    </row>
    <row r="291" spans="2:10" x14ac:dyDescent="0.25">
      <c r="B291" s="27"/>
      <c r="C291" s="1"/>
      <c r="D291" s="3" t="s">
        <v>735</v>
      </c>
      <c r="E291" s="17"/>
      <c r="F291" s="17"/>
      <c r="G291" s="17"/>
      <c r="H291" s="3" t="s">
        <v>736</v>
      </c>
      <c r="I291" s="2"/>
      <c r="J291" s="1"/>
    </row>
    <row r="292" spans="2:10" ht="22.8" x14ac:dyDescent="0.25">
      <c r="B292" s="25"/>
      <c r="C292" s="1"/>
      <c r="D292" s="3" t="s">
        <v>21</v>
      </c>
      <c r="E292" s="17"/>
      <c r="F292" s="17"/>
      <c r="G292" s="17"/>
      <c r="H292" s="3" t="s">
        <v>9</v>
      </c>
      <c r="I292" s="2"/>
      <c r="J292" s="1"/>
    </row>
    <row r="293" spans="2:10" ht="22.8" x14ac:dyDescent="0.25">
      <c r="B293" s="25"/>
      <c r="C293" s="1"/>
      <c r="D293" s="3" t="s">
        <v>21</v>
      </c>
      <c r="E293" s="17"/>
      <c r="F293" s="17"/>
      <c r="G293" s="17"/>
      <c r="H293" s="3" t="s">
        <v>9</v>
      </c>
      <c r="I293" s="2"/>
      <c r="J293" s="1"/>
    </row>
    <row r="294" spans="2:10" ht="22.8" x14ac:dyDescent="0.25">
      <c r="B294" s="25"/>
      <c r="C294" s="1"/>
      <c r="D294" s="3" t="s">
        <v>21</v>
      </c>
      <c r="E294" s="17"/>
      <c r="F294" s="17"/>
      <c r="G294" s="17"/>
      <c r="H294" s="3" t="s">
        <v>9</v>
      </c>
      <c r="I294" s="2"/>
      <c r="J294" s="1"/>
    </row>
    <row r="295" spans="2:10" ht="22.8" x14ac:dyDescent="0.25">
      <c r="B295" s="25"/>
      <c r="C295" s="1"/>
      <c r="D295" s="3" t="s">
        <v>21</v>
      </c>
      <c r="E295" s="17"/>
      <c r="F295" s="17"/>
      <c r="G295" s="17"/>
      <c r="H295" s="3" t="s">
        <v>9</v>
      </c>
      <c r="I295" s="2"/>
      <c r="J295" s="1"/>
    </row>
    <row r="296" spans="2:10" ht="22.8" x14ac:dyDescent="0.25">
      <c r="B296" s="25"/>
      <c r="C296" s="1"/>
      <c r="D296" s="3" t="s">
        <v>21</v>
      </c>
      <c r="E296" s="17"/>
      <c r="F296" s="17"/>
      <c r="G296" s="17"/>
      <c r="H296" s="3" t="s">
        <v>9</v>
      </c>
      <c r="I296" s="2"/>
      <c r="J296" s="1"/>
    </row>
    <row r="297" spans="2:10" ht="22.8" x14ac:dyDescent="0.25">
      <c r="B297" s="25"/>
      <c r="C297" s="1"/>
      <c r="D297" s="3" t="s">
        <v>21</v>
      </c>
      <c r="E297" s="17"/>
      <c r="F297" s="17"/>
      <c r="G297" s="17"/>
      <c r="H297" s="3" t="s">
        <v>9</v>
      </c>
      <c r="I297" s="2"/>
      <c r="J297" s="1"/>
    </row>
    <row r="298" spans="2:10" ht="22.8" x14ac:dyDescent="0.25">
      <c r="B298" s="25"/>
      <c r="C298" s="1"/>
      <c r="D298" s="3" t="s">
        <v>21</v>
      </c>
      <c r="E298" s="17"/>
      <c r="F298" s="17"/>
      <c r="G298" s="17"/>
      <c r="H298" s="3" t="s">
        <v>9</v>
      </c>
      <c r="I298" s="2"/>
      <c r="J298" s="1"/>
    </row>
    <row r="299" spans="2:10" ht="22.8" x14ac:dyDescent="0.25">
      <c r="B299" s="25"/>
      <c r="C299" s="1"/>
      <c r="D299" s="3" t="s">
        <v>21</v>
      </c>
      <c r="E299" s="17"/>
      <c r="F299" s="17"/>
      <c r="G299" s="17"/>
      <c r="H299" s="3" t="s">
        <v>9</v>
      </c>
      <c r="I299" s="2"/>
      <c r="J299" s="1"/>
    </row>
    <row r="300" spans="2:10" x14ac:dyDescent="0.25">
      <c r="D300" s="10" t="s">
        <v>21</v>
      </c>
      <c r="H300" s="10" t="s">
        <v>9</v>
      </c>
    </row>
    <row r="301" spans="2:10" x14ac:dyDescent="0.25">
      <c r="D301" s="10" t="s">
        <v>21</v>
      </c>
      <c r="H301" s="10" t="s">
        <v>9</v>
      </c>
    </row>
    <row r="302" spans="2:10" x14ac:dyDescent="0.25">
      <c r="D302" s="10" t="s">
        <v>21</v>
      </c>
      <c r="H302" s="10" t="s">
        <v>9</v>
      </c>
    </row>
  </sheetData>
  <phoneticPr fontId="4" type="noConversion"/>
  <pageMargins left="0.75" right="0.75" top="1" bottom="1" header="0.5" footer="0.5"/>
  <pageSetup paperSize="9"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 macro="[0]!매크로15_검색_콤보상장">
                <anchor moveWithCells="1" sizeWithCells="1">
                  <from>
                    <xdr:col>9</xdr:col>
                    <xdr:colOff>22860</xdr:colOff>
                    <xdr:row>0</xdr:row>
                    <xdr:rowOff>160020</xdr:rowOff>
                  </from>
                  <to>
                    <xdr:col>9</xdr:col>
                    <xdr:colOff>1303020</xdr:colOff>
                    <xdr:row>3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" r:id="rId5" name="Button 2">
              <controlPr defaultSize="0" print="0" autoFill="0" autoPict="0" macro="[0]!매크로16_필터지우기">
                <anchor moveWithCells="1" sizeWithCells="1">
                  <from>
                    <xdr:col>9</xdr:col>
                    <xdr:colOff>22860</xdr:colOff>
                    <xdr:row>3</xdr:row>
                    <xdr:rowOff>83820</xdr:rowOff>
                  </from>
                  <to>
                    <xdr:col>9</xdr:col>
                    <xdr:colOff>1303020</xdr:colOff>
                    <xdr:row>5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7" r:id="rId6" name="Drop Down 3">
              <controlPr defaultSize="0" autoLine="0" autoPict="0">
                <anchor moveWithCells="1">
                  <from>
                    <xdr:col>2</xdr:col>
                    <xdr:colOff>0</xdr:colOff>
                    <xdr:row>1</xdr:row>
                    <xdr:rowOff>0</xdr:rowOff>
                  </from>
                  <to>
                    <xdr:col>3</xdr:col>
                    <xdr:colOff>15240</xdr:colOff>
                    <xdr:row>2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8" r:id="rId7" name="Drop Down 4">
              <controlPr defaultSize="0" autoLine="0" autoPict="0">
                <anchor moveWithCells="1">
                  <from>
                    <xdr:col>6</xdr:col>
                    <xdr:colOff>38100</xdr:colOff>
                    <xdr:row>1</xdr:row>
                    <xdr:rowOff>7620</xdr:rowOff>
                  </from>
                  <to>
                    <xdr:col>6</xdr:col>
                    <xdr:colOff>937260</xdr:colOff>
                    <xdr:row>2</xdr:row>
                    <xdr:rowOff>22860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E10"/>
  <sheetViews>
    <sheetView workbookViewId="0">
      <selection activeCell="G3" sqref="G3"/>
    </sheetView>
  </sheetViews>
  <sheetFormatPr defaultRowHeight="14.4" x14ac:dyDescent="0.25"/>
  <cols>
    <col min="1" max="1" width="3.8984375" bestFit="1" customWidth="1"/>
    <col min="4" max="4" width="4.19921875" customWidth="1"/>
    <col min="5" max="5" width="9.296875" customWidth="1"/>
  </cols>
  <sheetData>
    <row r="1" spans="1:5" ht="15" thickBot="1" x14ac:dyDescent="0.3">
      <c r="A1" s="29" t="s">
        <v>380</v>
      </c>
      <c r="B1" s="29" t="s">
        <v>1</v>
      </c>
      <c r="D1" s="29" t="s">
        <v>380</v>
      </c>
      <c r="E1" s="29" t="s">
        <v>5</v>
      </c>
    </row>
    <row r="2" spans="1:5" ht="15" thickTop="1" x14ac:dyDescent="0.25">
      <c r="A2">
        <v>1</v>
      </c>
      <c r="B2" s="13" t="s">
        <v>26</v>
      </c>
      <c r="D2" s="45">
        <v>1</v>
      </c>
      <c r="E2" s="13" t="s">
        <v>9</v>
      </c>
    </row>
    <row r="3" spans="1:5" x14ac:dyDescent="0.25">
      <c r="A3">
        <v>2</v>
      </c>
      <c r="B3" s="13" t="s">
        <v>21</v>
      </c>
      <c r="D3" s="45">
        <v>2</v>
      </c>
      <c r="E3" s="13" t="s">
        <v>12</v>
      </c>
    </row>
    <row r="4" spans="1:5" x14ac:dyDescent="0.25">
      <c r="A4">
        <v>3</v>
      </c>
      <c r="B4" s="13" t="s">
        <v>11</v>
      </c>
      <c r="D4" s="45">
        <v>3</v>
      </c>
      <c r="E4" s="13" t="s">
        <v>14</v>
      </c>
    </row>
    <row r="5" spans="1:5" x14ac:dyDescent="0.25">
      <c r="A5">
        <v>4</v>
      </c>
      <c r="B5" s="13" t="s">
        <v>25</v>
      </c>
    </row>
    <row r="6" spans="1:5" x14ac:dyDescent="0.25">
      <c r="A6">
        <v>5</v>
      </c>
      <c r="B6" s="13" t="s">
        <v>8</v>
      </c>
    </row>
    <row r="7" spans="1:5" x14ac:dyDescent="0.25">
      <c r="A7">
        <v>6</v>
      </c>
      <c r="B7" s="13" t="s">
        <v>36</v>
      </c>
    </row>
    <row r="8" spans="1:5" x14ac:dyDescent="0.25">
      <c r="A8">
        <v>7</v>
      </c>
      <c r="B8" s="13" t="s">
        <v>19</v>
      </c>
    </row>
    <row r="9" spans="1:5" x14ac:dyDescent="0.25">
      <c r="A9">
        <v>8</v>
      </c>
      <c r="B9" s="13" t="s">
        <v>16</v>
      </c>
    </row>
    <row r="10" spans="1:5" x14ac:dyDescent="0.25">
      <c r="A10">
        <v>9</v>
      </c>
      <c r="B10" s="13" t="s">
        <v>13</v>
      </c>
    </row>
  </sheetData>
  <phoneticPr fontId="4" type="noConversion"/>
  <pageMargins left="0.75" right="0.75" top="1" bottom="1" header="0.5" footer="0.5"/>
  <headerFooter alignWithMargins="0"/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4"/>
  <dimension ref="B1:J54"/>
  <sheetViews>
    <sheetView tabSelected="1" topLeftCell="C1" zoomScale="85" zoomScaleNormal="85" workbookViewId="0">
      <pane ySplit="6" topLeftCell="A7" activePane="bottomLeft" state="frozen"/>
      <selection pane="bottomLeft" activeCell="J6" sqref="J6"/>
    </sheetView>
  </sheetViews>
  <sheetFormatPr defaultColWidth="8.8984375" defaultRowHeight="14.4" outlineLevelRow="2" x14ac:dyDescent="0.25"/>
  <cols>
    <col min="1" max="1" width="3.59765625" style="133" customWidth="1"/>
    <col min="2" max="2" width="8.8984375" style="133" customWidth="1"/>
    <col min="3" max="3" width="11.19921875" style="133" customWidth="1"/>
    <col min="4" max="4" width="9.19921875" style="133" customWidth="1"/>
    <col min="5" max="6" width="8.8984375" style="133"/>
    <col min="7" max="9" width="10" style="133" bestFit="1" customWidth="1"/>
    <col min="10" max="16384" width="8.8984375" style="133"/>
  </cols>
  <sheetData>
    <row r="1" spans="2:10" s="130" customFormat="1" x14ac:dyDescent="0.25"/>
    <row r="2" spans="2:10" s="130" customFormat="1" x14ac:dyDescent="0.25">
      <c r="J2" s="130" t="s">
        <v>743</v>
      </c>
    </row>
    <row r="3" spans="2:10" s="130" customFormat="1" x14ac:dyDescent="0.25">
      <c r="J3" s="130" t="s">
        <v>744</v>
      </c>
    </row>
    <row r="4" spans="2:10" s="130" customFormat="1" x14ac:dyDescent="0.25">
      <c r="H4" s="131">
        <v>2</v>
      </c>
      <c r="I4" s="131">
        <v>2</v>
      </c>
      <c r="J4" s="130" t="s">
        <v>745</v>
      </c>
    </row>
    <row r="5" spans="2:10" s="130" customFormat="1" x14ac:dyDescent="0.25">
      <c r="H5" s="131" t="str">
        <f>IF(H4=1,"C8","D8")</f>
        <v>D8</v>
      </c>
      <c r="I5" s="131">
        <v>4</v>
      </c>
      <c r="J5" s="130" t="s">
        <v>746</v>
      </c>
    </row>
    <row r="6" spans="2:10" s="130" customFormat="1" x14ac:dyDescent="0.25"/>
    <row r="8" spans="2:10" x14ac:dyDescent="0.25">
      <c r="B8" s="132" t="s">
        <v>704</v>
      </c>
      <c r="C8" s="132" t="s">
        <v>705</v>
      </c>
      <c r="D8" s="132" t="s">
        <v>706</v>
      </c>
      <c r="E8" s="132" t="s">
        <v>707</v>
      </c>
      <c r="F8" s="132" t="s">
        <v>708</v>
      </c>
      <c r="G8" s="132" t="s">
        <v>709</v>
      </c>
      <c r="H8" s="132" t="s">
        <v>710</v>
      </c>
      <c r="I8" s="132" t="s">
        <v>711</v>
      </c>
    </row>
    <row r="9" spans="2:10" hidden="1" outlineLevel="2" x14ac:dyDescent="0.25">
      <c r="B9" s="134">
        <v>37741</v>
      </c>
      <c r="C9" s="135" t="s">
        <v>719</v>
      </c>
      <c r="D9" s="135" t="s">
        <v>721</v>
      </c>
      <c r="E9" s="136">
        <v>44000</v>
      </c>
      <c r="F9" s="136">
        <v>11</v>
      </c>
      <c r="G9" s="137">
        <f>E9*F9</f>
        <v>484000</v>
      </c>
      <c r="H9" s="136">
        <v>124000</v>
      </c>
      <c r="I9" s="136">
        <f>G9-H9</f>
        <v>360000</v>
      </c>
    </row>
    <row r="10" spans="2:10" hidden="1" outlineLevel="2" x14ac:dyDescent="0.25">
      <c r="B10" s="134">
        <v>37833</v>
      </c>
      <c r="C10" s="135" t="s">
        <v>719</v>
      </c>
      <c r="D10" s="135" t="s">
        <v>721</v>
      </c>
      <c r="E10" s="136">
        <v>44000</v>
      </c>
      <c r="F10" s="136">
        <v>20</v>
      </c>
      <c r="G10" s="137">
        <f>E10*F10</f>
        <v>880000</v>
      </c>
      <c r="H10" s="136">
        <v>312000</v>
      </c>
      <c r="I10" s="136">
        <f>G10-H10</f>
        <v>568000</v>
      </c>
    </row>
    <row r="11" spans="2:10" hidden="1" outlineLevel="2" x14ac:dyDescent="0.25">
      <c r="B11" s="134">
        <v>37953</v>
      </c>
      <c r="C11" s="135" t="s">
        <v>719</v>
      </c>
      <c r="D11" s="135" t="s">
        <v>721</v>
      </c>
      <c r="E11" s="136">
        <v>44000</v>
      </c>
      <c r="F11" s="136">
        <v>16</v>
      </c>
      <c r="G11" s="137">
        <f>E11*F11</f>
        <v>704000</v>
      </c>
      <c r="H11" s="136">
        <v>704000</v>
      </c>
      <c r="I11" s="136">
        <f>G11-H11</f>
        <v>0</v>
      </c>
    </row>
    <row r="12" spans="2:10" hidden="1" outlineLevel="2" x14ac:dyDescent="0.25">
      <c r="B12" s="134">
        <v>37785</v>
      </c>
      <c r="C12" s="135" t="s">
        <v>718</v>
      </c>
      <c r="D12" s="135" t="s">
        <v>721</v>
      </c>
      <c r="E12" s="136">
        <v>44000</v>
      </c>
      <c r="F12" s="136">
        <v>7</v>
      </c>
      <c r="G12" s="137">
        <f>E12*F12</f>
        <v>308000</v>
      </c>
      <c r="H12" s="136">
        <v>206000</v>
      </c>
      <c r="I12" s="136">
        <f>G12-H12</f>
        <v>102000</v>
      </c>
    </row>
    <row r="13" spans="2:10" outlineLevel="1" collapsed="1" x14ac:dyDescent="0.25">
      <c r="B13" s="134"/>
      <c r="C13" s="135"/>
      <c r="D13" s="154" t="s">
        <v>737</v>
      </c>
      <c r="E13" s="136"/>
      <c r="F13" s="136">
        <f>SUBTOTAL(4,F9:F12)</f>
        <v>20</v>
      </c>
      <c r="G13" s="137">
        <f>SUBTOTAL(4,G9:G12)</f>
        <v>880000</v>
      </c>
      <c r="H13" s="136">
        <f>SUBTOTAL(4,H9:H12)</f>
        <v>704000</v>
      </c>
      <c r="I13" s="136">
        <f>SUBTOTAL(4,I9:I12)</f>
        <v>568000</v>
      </c>
    </row>
    <row r="14" spans="2:10" hidden="1" outlineLevel="2" x14ac:dyDescent="0.25">
      <c r="B14" s="134">
        <v>37781</v>
      </c>
      <c r="C14" s="135" t="s">
        <v>719</v>
      </c>
      <c r="D14" s="135" t="s">
        <v>716</v>
      </c>
      <c r="E14" s="136">
        <v>245000</v>
      </c>
      <c r="F14" s="136">
        <v>24</v>
      </c>
      <c r="G14" s="137">
        <f>E14*F14</f>
        <v>5880000</v>
      </c>
      <c r="H14" s="136">
        <v>695000</v>
      </c>
      <c r="I14" s="136">
        <f>G14-H14</f>
        <v>5185000</v>
      </c>
    </row>
    <row r="15" spans="2:10" hidden="1" outlineLevel="2" x14ac:dyDescent="0.25">
      <c r="B15" s="134">
        <v>37808</v>
      </c>
      <c r="C15" s="135" t="s">
        <v>719</v>
      </c>
      <c r="D15" s="135" t="s">
        <v>716</v>
      </c>
      <c r="E15" s="136">
        <v>245000</v>
      </c>
      <c r="F15" s="136">
        <v>13</v>
      </c>
      <c r="G15" s="137">
        <f>E15*F15</f>
        <v>3185000</v>
      </c>
      <c r="H15" s="136">
        <v>315000</v>
      </c>
      <c r="I15" s="136">
        <f>G15-H15</f>
        <v>2870000</v>
      </c>
    </row>
    <row r="16" spans="2:10" hidden="1" outlineLevel="2" x14ac:dyDescent="0.25">
      <c r="B16" s="134">
        <v>37786</v>
      </c>
      <c r="C16" s="135" t="s">
        <v>712</v>
      </c>
      <c r="D16" s="135" t="s">
        <v>716</v>
      </c>
      <c r="E16" s="136">
        <v>245000</v>
      </c>
      <c r="F16" s="136">
        <v>19</v>
      </c>
      <c r="G16" s="137">
        <f>E16*F16</f>
        <v>4655000</v>
      </c>
      <c r="H16" s="136">
        <v>568000</v>
      </c>
      <c r="I16" s="136">
        <f>G16-H16</f>
        <v>4087000</v>
      </c>
    </row>
    <row r="17" spans="2:9" hidden="1" outlineLevel="2" x14ac:dyDescent="0.25">
      <c r="B17" s="134">
        <v>37700</v>
      </c>
      <c r="C17" s="135" t="s">
        <v>717</v>
      </c>
      <c r="D17" s="135" t="s">
        <v>716</v>
      </c>
      <c r="E17" s="136">
        <v>245000</v>
      </c>
      <c r="F17" s="136">
        <v>20</v>
      </c>
      <c r="G17" s="137">
        <f>E17*F17</f>
        <v>4900000</v>
      </c>
      <c r="H17" s="136">
        <v>692000</v>
      </c>
      <c r="I17" s="136">
        <f>G17-H17</f>
        <v>4208000</v>
      </c>
    </row>
    <row r="18" spans="2:9" hidden="1" outlineLevel="2" x14ac:dyDescent="0.25">
      <c r="B18" s="134">
        <v>37772</v>
      </c>
      <c r="C18" s="135" t="s">
        <v>717</v>
      </c>
      <c r="D18" s="135" t="s">
        <v>716</v>
      </c>
      <c r="E18" s="136">
        <v>245000</v>
      </c>
      <c r="F18" s="136">
        <v>11</v>
      </c>
      <c r="G18" s="137">
        <f>E18*F18</f>
        <v>2695000</v>
      </c>
      <c r="H18" s="136">
        <v>687000</v>
      </c>
      <c r="I18" s="136">
        <f>G18-H18</f>
        <v>2008000</v>
      </c>
    </row>
    <row r="19" spans="2:9" hidden="1" outlineLevel="2" x14ac:dyDescent="0.25">
      <c r="B19" s="134">
        <v>37637</v>
      </c>
      <c r="C19" s="135" t="s">
        <v>715</v>
      </c>
      <c r="D19" s="135" t="s">
        <v>716</v>
      </c>
      <c r="E19" s="136">
        <v>245000</v>
      </c>
      <c r="F19" s="136">
        <v>20</v>
      </c>
      <c r="G19" s="137">
        <f>E19*F19</f>
        <v>4900000</v>
      </c>
      <c r="H19" s="136">
        <v>300000</v>
      </c>
      <c r="I19" s="136">
        <f>G19-H19</f>
        <v>4600000</v>
      </c>
    </row>
    <row r="20" spans="2:9" hidden="1" outlineLevel="2" x14ac:dyDescent="0.25">
      <c r="B20" s="134">
        <v>37651</v>
      </c>
      <c r="C20" s="135" t="s">
        <v>715</v>
      </c>
      <c r="D20" s="135" t="s">
        <v>716</v>
      </c>
      <c r="E20" s="136">
        <v>245000</v>
      </c>
      <c r="F20" s="136">
        <v>5</v>
      </c>
      <c r="G20" s="137">
        <f>E20*F20</f>
        <v>1225000</v>
      </c>
      <c r="H20" s="136">
        <v>294000</v>
      </c>
      <c r="I20" s="136">
        <f>G20-H20</f>
        <v>931000</v>
      </c>
    </row>
    <row r="21" spans="2:9" hidden="1" outlineLevel="2" x14ac:dyDescent="0.25">
      <c r="B21" s="134">
        <v>37700</v>
      </c>
      <c r="C21" s="135" t="s">
        <v>715</v>
      </c>
      <c r="D21" s="135" t="s">
        <v>716</v>
      </c>
      <c r="E21" s="136">
        <v>245000</v>
      </c>
      <c r="F21" s="136">
        <v>30</v>
      </c>
      <c r="G21" s="137">
        <f>E21*F21</f>
        <v>7350000</v>
      </c>
      <c r="H21" s="136">
        <v>197000</v>
      </c>
      <c r="I21" s="136">
        <f>G21-H21</f>
        <v>7153000</v>
      </c>
    </row>
    <row r="22" spans="2:9" hidden="1" outlineLevel="2" x14ac:dyDescent="0.25">
      <c r="B22" s="134">
        <v>37834</v>
      </c>
      <c r="C22" s="135" t="s">
        <v>715</v>
      </c>
      <c r="D22" s="135" t="s">
        <v>716</v>
      </c>
      <c r="E22" s="136">
        <v>245000</v>
      </c>
      <c r="F22" s="136">
        <v>23</v>
      </c>
      <c r="G22" s="137">
        <f>E22*F22</f>
        <v>5635000</v>
      </c>
      <c r="H22" s="136">
        <v>384000</v>
      </c>
      <c r="I22" s="136">
        <f>G22-H22</f>
        <v>5251000</v>
      </c>
    </row>
    <row r="23" spans="2:9" hidden="1" outlineLevel="2" x14ac:dyDescent="0.25">
      <c r="B23" s="134">
        <v>37951</v>
      </c>
      <c r="C23" s="135" t="s">
        <v>715</v>
      </c>
      <c r="D23" s="135" t="s">
        <v>716</v>
      </c>
      <c r="E23" s="136">
        <v>245000</v>
      </c>
      <c r="F23" s="136">
        <v>21</v>
      </c>
      <c r="G23" s="137">
        <f>E23*F23</f>
        <v>5145000</v>
      </c>
      <c r="H23" s="136">
        <v>118000</v>
      </c>
      <c r="I23" s="136">
        <f>G23-H23</f>
        <v>5027000</v>
      </c>
    </row>
    <row r="24" spans="2:9" hidden="1" outlineLevel="2" x14ac:dyDescent="0.25">
      <c r="B24" s="134">
        <v>37881</v>
      </c>
      <c r="C24" s="135" t="s">
        <v>718</v>
      </c>
      <c r="D24" s="135" t="s">
        <v>716</v>
      </c>
      <c r="E24" s="136">
        <v>245000</v>
      </c>
      <c r="F24" s="136">
        <v>28</v>
      </c>
      <c r="G24" s="137">
        <f>E24*F24</f>
        <v>6860000</v>
      </c>
      <c r="H24" s="136">
        <v>78000</v>
      </c>
      <c r="I24" s="136">
        <f>G24-H24</f>
        <v>6782000</v>
      </c>
    </row>
    <row r="25" spans="2:9" outlineLevel="1" collapsed="1" x14ac:dyDescent="0.25">
      <c r="B25" s="134"/>
      <c r="C25" s="135"/>
      <c r="D25" s="155" t="s">
        <v>738</v>
      </c>
      <c r="E25" s="136"/>
      <c r="F25" s="136">
        <f>SUBTOTAL(4,F14:F24)</f>
        <v>30</v>
      </c>
      <c r="G25" s="137">
        <f>SUBTOTAL(4,G14:G24)</f>
        <v>7350000</v>
      </c>
      <c r="H25" s="136">
        <f>SUBTOTAL(4,H14:H24)</f>
        <v>695000</v>
      </c>
      <c r="I25" s="136">
        <f>SUBTOTAL(4,I14:I24)</f>
        <v>7153000</v>
      </c>
    </row>
    <row r="26" spans="2:9" hidden="1" outlineLevel="2" x14ac:dyDescent="0.25">
      <c r="B26" s="134">
        <v>37671</v>
      </c>
      <c r="C26" s="135" t="s">
        <v>719</v>
      </c>
      <c r="D26" s="135" t="s">
        <v>714</v>
      </c>
      <c r="E26" s="136">
        <v>23000</v>
      </c>
      <c r="F26" s="136">
        <v>12</v>
      </c>
      <c r="G26" s="137">
        <f>E26*F26</f>
        <v>276000</v>
      </c>
      <c r="H26" s="136">
        <v>276000</v>
      </c>
      <c r="I26" s="136">
        <f>G26-H26</f>
        <v>0</v>
      </c>
    </row>
    <row r="27" spans="2:9" hidden="1" outlineLevel="2" x14ac:dyDescent="0.25">
      <c r="B27" s="134">
        <v>37808</v>
      </c>
      <c r="C27" s="135" t="s">
        <v>719</v>
      </c>
      <c r="D27" s="135" t="s">
        <v>714</v>
      </c>
      <c r="E27" s="136">
        <v>23000</v>
      </c>
      <c r="F27" s="136">
        <v>5</v>
      </c>
      <c r="G27" s="137">
        <f>E27*F27</f>
        <v>115000</v>
      </c>
      <c r="H27" s="136">
        <v>86000</v>
      </c>
      <c r="I27" s="136">
        <f>G27-H27</f>
        <v>29000</v>
      </c>
    </row>
    <row r="28" spans="2:9" hidden="1" outlineLevel="2" x14ac:dyDescent="0.25">
      <c r="B28" s="134">
        <v>37630</v>
      </c>
      <c r="C28" s="135" t="s">
        <v>712</v>
      </c>
      <c r="D28" s="135" t="s">
        <v>714</v>
      </c>
      <c r="E28" s="136">
        <v>23000</v>
      </c>
      <c r="F28" s="136">
        <v>5</v>
      </c>
      <c r="G28" s="137">
        <f>E28*F28</f>
        <v>115000</v>
      </c>
      <c r="H28" s="136">
        <v>115000</v>
      </c>
      <c r="I28" s="136">
        <f>G28-H28</f>
        <v>0</v>
      </c>
    </row>
    <row r="29" spans="2:9" hidden="1" outlineLevel="2" x14ac:dyDescent="0.25">
      <c r="B29" s="134">
        <v>37655</v>
      </c>
      <c r="C29" s="135" t="s">
        <v>712</v>
      </c>
      <c r="D29" s="135" t="s">
        <v>714</v>
      </c>
      <c r="E29" s="136">
        <v>23000</v>
      </c>
      <c r="F29" s="136">
        <v>20</v>
      </c>
      <c r="G29" s="137">
        <f>E29*F29</f>
        <v>460000</v>
      </c>
      <c r="H29" s="136">
        <v>460000</v>
      </c>
      <c r="I29" s="136">
        <f>G29-H29</f>
        <v>0</v>
      </c>
    </row>
    <row r="30" spans="2:9" hidden="1" outlineLevel="2" x14ac:dyDescent="0.25">
      <c r="B30" s="134">
        <v>37786</v>
      </c>
      <c r="C30" s="135" t="s">
        <v>712</v>
      </c>
      <c r="D30" s="135" t="s">
        <v>714</v>
      </c>
      <c r="E30" s="136">
        <v>23000</v>
      </c>
      <c r="F30" s="136">
        <v>19</v>
      </c>
      <c r="G30" s="137">
        <f>E30*F30</f>
        <v>437000</v>
      </c>
      <c r="H30" s="136">
        <v>437000</v>
      </c>
      <c r="I30" s="136">
        <f>G30-H30</f>
        <v>0</v>
      </c>
    </row>
    <row r="31" spans="2:9" hidden="1" outlineLevel="2" x14ac:dyDescent="0.25">
      <c r="B31" s="134">
        <v>37651</v>
      </c>
      <c r="C31" s="135" t="s">
        <v>717</v>
      </c>
      <c r="D31" s="135" t="s">
        <v>714</v>
      </c>
      <c r="E31" s="136">
        <v>23000</v>
      </c>
      <c r="F31" s="136">
        <v>25</v>
      </c>
      <c r="G31" s="137">
        <f>E31*F31</f>
        <v>575000</v>
      </c>
      <c r="H31" s="136">
        <v>392000</v>
      </c>
      <c r="I31" s="136">
        <f>G31-H31</f>
        <v>183000</v>
      </c>
    </row>
    <row r="32" spans="2:9" hidden="1" outlineLevel="2" x14ac:dyDescent="0.25">
      <c r="B32" s="134">
        <v>37721</v>
      </c>
      <c r="C32" s="135" t="s">
        <v>718</v>
      </c>
      <c r="D32" s="135" t="s">
        <v>714</v>
      </c>
      <c r="E32" s="136">
        <v>23000</v>
      </c>
      <c r="F32" s="136">
        <v>29</v>
      </c>
      <c r="G32" s="137">
        <f>E32*F32</f>
        <v>667000</v>
      </c>
      <c r="H32" s="136">
        <v>20000</v>
      </c>
      <c r="I32" s="136">
        <f>G32-H32</f>
        <v>647000</v>
      </c>
    </row>
    <row r="33" spans="2:9" outlineLevel="1" collapsed="1" x14ac:dyDescent="0.25">
      <c r="B33" s="134"/>
      <c r="C33" s="135"/>
      <c r="D33" s="155" t="s">
        <v>739</v>
      </c>
      <c r="E33" s="136"/>
      <c r="F33" s="136">
        <f>SUBTOTAL(4,F26:F32)</f>
        <v>29</v>
      </c>
      <c r="G33" s="137">
        <f>SUBTOTAL(4,G26:G32)</f>
        <v>667000</v>
      </c>
      <c r="H33" s="136">
        <f>SUBTOTAL(4,H26:H32)</f>
        <v>460000</v>
      </c>
      <c r="I33" s="136">
        <f>SUBTOTAL(4,I26:I32)</f>
        <v>647000</v>
      </c>
    </row>
    <row r="34" spans="2:9" hidden="1" outlineLevel="2" x14ac:dyDescent="0.25">
      <c r="B34" s="134">
        <v>37708</v>
      </c>
      <c r="C34" s="135" t="s">
        <v>719</v>
      </c>
      <c r="D34" s="135" t="s">
        <v>713</v>
      </c>
      <c r="E34" s="136">
        <v>67000</v>
      </c>
      <c r="F34" s="136">
        <v>33</v>
      </c>
      <c r="G34" s="137">
        <f>E34*F34</f>
        <v>2211000</v>
      </c>
      <c r="H34" s="136">
        <v>320000</v>
      </c>
      <c r="I34" s="136">
        <f>G34-H34</f>
        <v>1891000</v>
      </c>
    </row>
    <row r="35" spans="2:9" hidden="1" outlineLevel="2" x14ac:dyDescent="0.25">
      <c r="B35" s="134">
        <v>37628</v>
      </c>
      <c r="C35" s="135" t="s">
        <v>712</v>
      </c>
      <c r="D35" s="135" t="s">
        <v>713</v>
      </c>
      <c r="E35" s="136">
        <v>67000</v>
      </c>
      <c r="F35" s="136">
        <v>21</v>
      </c>
      <c r="G35" s="137">
        <f>E35*F35</f>
        <v>1407000</v>
      </c>
      <c r="H35" s="136">
        <v>458000</v>
      </c>
      <c r="I35" s="136">
        <f>G35-H35</f>
        <v>949000</v>
      </c>
    </row>
    <row r="36" spans="2:9" hidden="1" outlineLevel="2" x14ac:dyDescent="0.25">
      <c r="B36" s="134">
        <v>37800</v>
      </c>
      <c r="C36" s="135" t="s">
        <v>712</v>
      </c>
      <c r="D36" s="135" t="s">
        <v>713</v>
      </c>
      <c r="E36" s="136">
        <v>67000</v>
      </c>
      <c r="F36" s="136">
        <v>27</v>
      </c>
      <c r="G36" s="137">
        <f>E36*F36</f>
        <v>1809000</v>
      </c>
      <c r="H36" s="136">
        <v>968000</v>
      </c>
      <c r="I36" s="136">
        <f>G36-H36</f>
        <v>841000</v>
      </c>
    </row>
    <row r="37" spans="2:9" hidden="1" outlineLevel="2" x14ac:dyDescent="0.25">
      <c r="B37" s="134">
        <v>37924</v>
      </c>
      <c r="C37" s="135" t="s">
        <v>712</v>
      </c>
      <c r="D37" s="135" t="s">
        <v>713</v>
      </c>
      <c r="E37" s="136">
        <v>67000</v>
      </c>
      <c r="F37" s="136">
        <v>10</v>
      </c>
      <c r="G37" s="137">
        <f>E37*F37</f>
        <v>670000</v>
      </c>
      <c r="H37" s="136">
        <v>670000</v>
      </c>
      <c r="I37" s="136">
        <f>G37-H37</f>
        <v>0</v>
      </c>
    </row>
    <row r="38" spans="2:9" hidden="1" outlineLevel="2" x14ac:dyDescent="0.25">
      <c r="B38" s="134">
        <v>37976</v>
      </c>
      <c r="C38" s="135" t="s">
        <v>712</v>
      </c>
      <c r="D38" s="135" t="s">
        <v>713</v>
      </c>
      <c r="E38" s="136">
        <v>67000</v>
      </c>
      <c r="F38" s="136">
        <v>21</v>
      </c>
      <c r="G38" s="137">
        <f>E38*F38</f>
        <v>1407000</v>
      </c>
      <c r="H38" s="136">
        <v>609000</v>
      </c>
      <c r="I38" s="136">
        <f>G38-H38</f>
        <v>798000</v>
      </c>
    </row>
    <row r="39" spans="2:9" hidden="1" outlineLevel="2" x14ac:dyDescent="0.25">
      <c r="B39" s="134">
        <v>37682</v>
      </c>
      <c r="C39" s="135" t="s">
        <v>715</v>
      </c>
      <c r="D39" s="135" t="s">
        <v>713</v>
      </c>
      <c r="E39" s="136">
        <v>67000</v>
      </c>
      <c r="F39" s="136">
        <v>15</v>
      </c>
      <c r="G39" s="137">
        <f>E39*F39</f>
        <v>1005000</v>
      </c>
      <c r="H39" s="136">
        <v>156000</v>
      </c>
      <c r="I39" s="136">
        <f>G39-H39</f>
        <v>849000</v>
      </c>
    </row>
    <row r="40" spans="2:9" hidden="1" outlineLevel="2" x14ac:dyDescent="0.25">
      <c r="B40" s="134">
        <v>37818</v>
      </c>
      <c r="C40" s="135" t="s">
        <v>715</v>
      </c>
      <c r="D40" s="135" t="s">
        <v>713</v>
      </c>
      <c r="E40" s="136">
        <v>67000</v>
      </c>
      <c r="F40" s="136">
        <v>34</v>
      </c>
      <c r="G40" s="137">
        <f>E40*F40</f>
        <v>2278000</v>
      </c>
      <c r="H40" s="136">
        <v>94000</v>
      </c>
      <c r="I40" s="136">
        <f>G40-H40</f>
        <v>2184000</v>
      </c>
    </row>
    <row r="41" spans="2:9" hidden="1" outlineLevel="2" x14ac:dyDescent="0.25">
      <c r="B41" s="134">
        <v>37840</v>
      </c>
      <c r="C41" s="135" t="s">
        <v>715</v>
      </c>
      <c r="D41" s="135" t="s">
        <v>713</v>
      </c>
      <c r="E41" s="136">
        <v>67000</v>
      </c>
      <c r="F41" s="136">
        <v>7</v>
      </c>
      <c r="G41" s="137">
        <f>E41*F41</f>
        <v>469000</v>
      </c>
      <c r="H41" s="136">
        <v>239000</v>
      </c>
      <c r="I41" s="136">
        <f>G41-H41</f>
        <v>230000</v>
      </c>
    </row>
    <row r="42" spans="2:9" hidden="1" outlineLevel="2" x14ac:dyDescent="0.25">
      <c r="B42" s="134">
        <v>37658</v>
      </c>
      <c r="C42" s="135" t="s">
        <v>718</v>
      </c>
      <c r="D42" s="135" t="s">
        <v>713</v>
      </c>
      <c r="E42" s="136">
        <v>67000</v>
      </c>
      <c r="F42" s="136">
        <v>7</v>
      </c>
      <c r="G42" s="137">
        <f>E42*F42</f>
        <v>469000</v>
      </c>
      <c r="H42" s="136">
        <v>469000</v>
      </c>
      <c r="I42" s="136">
        <f>G42-H42</f>
        <v>0</v>
      </c>
    </row>
    <row r="43" spans="2:9" hidden="1" outlineLevel="2" x14ac:dyDescent="0.25">
      <c r="B43" s="134">
        <v>37715</v>
      </c>
      <c r="C43" s="135" t="s">
        <v>718</v>
      </c>
      <c r="D43" s="135" t="s">
        <v>713</v>
      </c>
      <c r="E43" s="136">
        <v>67000</v>
      </c>
      <c r="F43" s="136">
        <v>29</v>
      </c>
      <c r="G43" s="137">
        <f>E43*F43</f>
        <v>1943000</v>
      </c>
      <c r="H43" s="136">
        <v>89000</v>
      </c>
      <c r="I43" s="136">
        <f>G43-H43</f>
        <v>1854000</v>
      </c>
    </row>
    <row r="44" spans="2:9" hidden="1" outlineLevel="2" x14ac:dyDescent="0.25">
      <c r="B44" s="134">
        <v>37828</v>
      </c>
      <c r="C44" s="135" t="s">
        <v>718</v>
      </c>
      <c r="D44" s="135" t="s">
        <v>713</v>
      </c>
      <c r="E44" s="136">
        <v>67000</v>
      </c>
      <c r="F44" s="136">
        <v>29</v>
      </c>
      <c r="G44" s="137">
        <f>E44*F44</f>
        <v>1943000</v>
      </c>
      <c r="H44" s="136">
        <v>572000</v>
      </c>
      <c r="I44" s="136">
        <f>G44-H44</f>
        <v>1371000</v>
      </c>
    </row>
    <row r="45" spans="2:9" outlineLevel="1" collapsed="1" x14ac:dyDescent="0.25">
      <c r="B45" s="134"/>
      <c r="C45" s="135"/>
      <c r="D45" s="155" t="s">
        <v>740</v>
      </c>
      <c r="E45" s="136"/>
      <c r="F45" s="136">
        <f>SUBTOTAL(4,F34:F44)</f>
        <v>34</v>
      </c>
      <c r="G45" s="137">
        <f>SUBTOTAL(4,G34:G44)</f>
        <v>2278000</v>
      </c>
      <c r="H45" s="136">
        <f>SUBTOTAL(4,H34:H44)</f>
        <v>968000</v>
      </c>
      <c r="I45" s="136">
        <f>SUBTOTAL(4,I34:I44)</f>
        <v>2184000</v>
      </c>
    </row>
    <row r="46" spans="2:9" hidden="1" outlineLevel="2" x14ac:dyDescent="0.25">
      <c r="B46" s="134">
        <v>37765</v>
      </c>
      <c r="C46" s="135" t="s">
        <v>719</v>
      </c>
      <c r="D46" s="135" t="s">
        <v>720</v>
      </c>
      <c r="E46" s="136">
        <v>16000</v>
      </c>
      <c r="F46" s="136">
        <v>19</v>
      </c>
      <c r="G46" s="137">
        <f>E46*F46</f>
        <v>304000</v>
      </c>
      <c r="H46" s="136">
        <v>304000</v>
      </c>
      <c r="I46" s="136">
        <f>G46-H46</f>
        <v>0</v>
      </c>
    </row>
    <row r="47" spans="2:9" hidden="1" outlineLevel="2" x14ac:dyDescent="0.25">
      <c r="B47" s="134">
        <v>37800</v>
      </c>
      <c r="C47" s="135" t="s">
        <v>719</v>
      </c>
      <c r="D47" s="135" t="s">
        <v>720</v>
      </c>
      <c r="E47" s="136">
        <v>16000</v>
      </c>
      <c r="F47" s="136">
        <v>29</v>
      </c>
      <c r="G47" s="137">
        <f>E47*F47</f>
        <v>464000</v>
      </c>
      <c r="H47" s="136">
        <v>100000</v>
      </c>
      <c r="I47" s="136">
        <f>G47-H47</f>
        <v>364000</v>
      </c>
    </row>
    <row r="48" spans="2:9" hidden="1" outlineLevel="2" x14ac:dyDescent="0.25">
      <c r="B48" s="134">
        <v>37756</v>
      </c>
      <c r="C48" s="135" t="s">
        <v>712</v>
      </c>
      <c r="D48" s="135" t="s">
        <v>720</v>
      </c>
      <c r="E48" s="136">
        <v>16000</v>
      </c>
      <c r="F48" s="136">
        <v>22</v>
      </c>
      <c r="G48" s="137">
        <f>E48*F48</f>
        <v>352000</v>
      </c>
      <c r="H48" s="136">
        <v>352000</v>
      </c>
      <c r="I48" s="136">
        <f>G48-H48</f>
        <v>0</v>
      </c>
    </row>
    <row r="49" spans="2:9" hidden="1" outlineLevel="2" x14ac:dyDescent="0.25">
      <c r="B49" s="134">
        <v>37684</v>
      </c>
      <c r="C49" s="135" t="s">
        <v>715</v>
      </c>
      <c r="D49" s="135" t="s">
        <v>720</v>
      </c>
      <c r="E49" s="136">
        <v>16000</v>
      </c>
      <c r="F49" s="136">
        <v>12</v>
      </c>
      <c r="G49" s="137">
        <f>E49*F49</f>
        <v>192000</v>
      </c>
      <c r="H49" s="136">
        <v>192000</v>
      </c>
      <c r="I49" s="136">
        <f>G49-H49</f>
        <v>0</v>
      </c>
    </row>
    <row r="50" spans="2:9" hidden="1" outlineLevel="2" x14ac:dyDescent="0.25">
      <c r="B50" s="134">
        <v>37789</v>
      </c>
      <c r="C50" s="135" t="s">
        <v>715</v>
      </c>
      <c r="D50" s="135" t="s">
        <v>720</v>
      </c>
      <c r="E50" s="136">
        <v>16000</v>
      </c>
      <c r="F50" s="136">
        <v>10</v>
      </c>
      <c r="G50" s="137">
        <f>E50*F50</f>
        <v>160000</v>
      </c>
      <c r="H50" s="136">
        <v>160000</v>
      </c>
      <c r="I50" s="136">
        <f>G50-H50</f>
        <v>0</v>
      </c>
    </row>
    <row r="51" spans="2:9" hidden="1" outlineLevel="2" x14ac:dyDescent="0.25">
      <c r="B51" s="134">
        <v>37954</v>
      </c>
      <c r="C51" s="135" t="s">
        <v>715</v>
      </c>
      <c r="D51" s="135" t="s">
        <v>720</v>
      </c>
      <c r="E51" s="136">
        <v>16000</v>
      </c>
      <c r="F51" s="136">
        <v>14</v>
      </c>
      <c r="G51" s="137">
        <f>E51*F51</f>
        <v>224000</v>
      </c>
      <c r="H51" s="136">
        <v>200000</v>
      </c>
      <c r="I51" s="136">
        <f>G51-H51</f>
        <v>24000</v>
      </c>
    </row>
    <row r="52" spans="2:9" hidden="1" outlineLevel="2" x14ac:dyDescent="0.25">
      <c r="B52" s="134">
        <v>37920</v>
      </c>
      <c r="C52" s="135" t="s">
        <v>718</v>
      </c>
      <c r="D52" s="135" t="s">
        <v>720</v>
      </c>
      <c r="E52" s="136">
        <v>16000</v>
      </c>
      <c r="F52" s="136">
        <v>9</v>
      </c>
      <c r="G52" s="137">
        <f>E52*F52</f>
        <v>144000</v>
      </c>
      <c r="H52" s="136">
        <v>144000</v>
      </c>
      <c r="I52" s="136">
        <f>G52-H52</f>
        <v>0</v>
      </c>
    </row>
    <row r="53" spans="2:9" outlineLevel="1" collapsed="1" x14ac:dyDescent="0.25">
      <c r="B53" s="134"/>
      <c r="C53" s="135"/>
      <c r="D53" s="155" t="s">
        <v>741</v>
      </c>
      <c r="E53" s="136"/>
      <c r="F53" s="136">
        <f>SUBTOTAL(4,F46:F52)</f>
        <v>29</v>
      </c>
      <c r="G53" s="137">
        <f>SUBTOTAL(4,G46:G52)</f>
        <v>464000</v>
      </c>
      <c r="H53" s="136">
        <f>SUBTOTAL(4,H46:H52)</f>
        <v>352000</v>
      </c>
      <c r="I53" s="136">
        <f>SUBTOTAL(4,I46:I52)</f>
        <v>364000</v>
      </c>
    </row>
    <row r="54" spans="2:9" x14ac:dyDescent="0.25">
      <c r="B54" s="134"/>
      <c r="C54" s="135"/>
      <c r="D54" s="155" t="s">
        <v>742</v>
      </c>
      <c r="E54" s="136"/>
      <c r="F54" s="136">
        <f>SUBTOTAL(4,F9:F52)</f>
        <v>34</v>
      </c>
      <c r="G54" s="137">
        <f>SUBTOTAL(4,G9:G52)</f>
        <v>7350000</v>
      </c>
      <c r="H54" s="136">
        <f>SUBTOTAL(4,H9:H52)</f>
        <v>968000</v>
      </c>
      <c r="I54" s="136">
        <f>SUBTOTAL(4,I9:I52)</f>
        <v>7153000</v>
      </c>
    </row>
  </sheetData>
  <sortState ref="B9:I45">
    <sortCondition ref="D8"/>
  </sortState>
  <phoneticPr fontId="4" type="noConversion"/>
  <pageMargins left="0.75" right="0.75" top="1" bottom="1" header="0.5" footer="0.5"/>
  <pageSetup paperSize="9" orientation="portrait" horizontalDpi="300" verticalDpi="0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9" r:id="rId4" name="Option Button 1">
              <controlPr defaultSize="0" autoFill="0" autoLine="0" autoPict="0">
                <anchor moveWithCells="1">
                  <from>
                    <xdr:col>1</xdr:col>
                    <xdr:colOff>121920</xdr:colOff>
                    <xdr:row>1</xdr:row>
                    <xdr:rowOff>99060</xdr:rowOff>
                  </from>
                  <to>
                    <xdr:col>2</xdr:col>
                    <xdr:colOff>91440</xdr:colOff>
                    <xdr:row>2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0" r:id="rId5" name="Option Button 2">
              <controlPr defaultSize="0" autoFill="0" autoLine="0" autoPict="0">
                <anchor moveWithCells="1">
                  <from>
                    <xdr:col>1</xdr:col>
                    <xdr:colOff>121920</xdr:colOff>
                    <xdr:row>3</xdr:row>
                    <xdr:rowOff>60960</xdr:rowOff>
                  </from>
                  <to>
                    <xdr:col>2</xdr:col>
                    <xdr:colOff>91440</xdr:colOff>
                    <xdr:row>4</xdr:row>
                    <xdr:rowOff>99060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1" r:id="rId6" name="Group Box 3">
              <controlPr defaultSize="0" autoFill="0" autoPict="0">
                <anchor moveWithCells="1">
                  <from>
                    <xdr:col>1</xdr:col>
                    <xdr:colOff>30480</xdr:colOff>
                    <xdr:row>0</xdr:row>
                    <xdr:rowOff>91440</xdr:rowOff>
                  </from>
                  <to>
                    <xdr:col>2</xdr:col>
                    <xdr:colOff>213360</xdr:colOff>
                    <xdr:row>5</xdr:row>
                    <xdr:rowOff>60960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3" r:id="rId7" name="Option Button 5">
              <controlPr defaultSize="0" autoFill="0" autoLine="0" autoPict="0">
                <anchor moveWithCells="1">
                  <from>
                    <xdr:col>3</xdr:col>
                    <xdr:colOff>30480</xdr:colOff>
                    <xdr:row>3</xdr:row>
                    <xdr:rowOff>60960</xdr:rowOff>
                  </from>
                  <to>
                    <xdr:col>3</xdr:col>
                    <xdr:colOff>685800</xdr:colOff>
                    <xdr:row>4</xdr:row>
                    <xdr:rowOff>99060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4" r:id="rId8" name="Group Box 6">
              <controlPr defaultSize="0" autoFill="0" autoPict="0">
                <anchor moveWithCells="1">
                  <from>
                    <xdr:col>2</xdr:col>
                    <xdr:colOff>708660</xdr:colOff>
                    <xdr:row>0</xdr:row>
                    <xdr:rowOff>91440</xdr:rowOff>
                  </from>
                  <to>
                    <xdr:col>5</xdr:col>
                    <xdr:colOff>160020</xdr:colOff>
                    <xdr:row>5</xdr:row>
                    <xdr:rowOff>60960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5" r:id="rId9" name="Option Button 7">
              <controlPr defaultSize="0" autoFill="0" autoLine="0" autoPict="0">
                <anchor moveWithCells="1">
                  <from>
                    <xdr:col>4</xdr:col>
                    <xdr:colOff>83820</xdr:colOff>
                    <xdr:row>1</xdr:row>
                    <xdr:rowOff>137160</xdr:rowOff>
                  </from>
                  <to>
                    <xdr:col>5</xdr:col>
                    <xdr:colOff>53340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6" r:id="rId10" name="Option Button 8">
              <controlPr defaultSize="0" autoFill="0" autoLine="0" autoPict="0">
                <anchor moveWithCells="1">
                  <from>
                    <xdr:col>4</xdr:col>
                    <xdr:colOff>45720</xdr:colOff>
                    <xdr:row>3</xdr:row>
                    <xdr:rowOff>53340</xdr:rowOff>
                  </from>
                  <to>
                    <xdr:col>5</xdr:col>
                    <xdr:colOff>15240</xdr:colOff>
                    <xdr:row>4</xdr:row>
                    <xdr:rowOff>91440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7" r:id="rId11" name="Button 9">
              <controlPr defaultSize="0" print="0" autoFill="0" autoPict="0" macro="[0]!매크로17_부분합만들기">
                <anchor moveWithCells="1" sizeWithCells="1">
                  <from>
                    <xdr:col>5</xdr:col>
                    <xdr:colOff>441960</xdr:colOff>
                    <xdr:row>0</xdr:row>
                    <xdr:rowOff>144780</xdr:rowOff>
                  </from>
                  <to>
                    <xdr:col>7</xdr:col>
                    <xdr:colOff>121920</xdr:colOff>
                    <xdr:row>2</xdr:row>
                    <xdr:rowOff>68580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8" r:id="rId12" name="Button 10">
              <controlPr defaultSize="0" print="0" autoFill="0" autoPict="0" macro="[0]!매크로18_부분합지우기">
                <anchor moveWithCells="1" sizeWithCells="1">
                  <from>
                    <xdr:col>7</xdr:col>
                    <xdr:colOff>365760</xdr:colOff>
                    <xdr:row>0</xdr:row>
                    <xdr:rowOff>144780</xdr:rowOff>
                  </from>
                  <to>
                    <xdr:col>8</xdr:col>
                    <xdr:colOff>716280</xdr:colOff>
                    <xdr:row>2</xdr:row>
                    <xdr:rowOff>68580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9" r:id="rId13" name="Option Button 11">
              <controlPr defaultSize="0" autoFill="0" autoLine="0" autoPict="0">
                <anchor moveWithCells="1">
                  <from>
                    <xdr:col>3</xdr:col>
                    <xdr:colOff>38100</xdr:colOff>
                    <xdr:row>1</xdr:row>
                    <xdr:rowOff>121920</xdr:rowOff>
                  </from>
                  <to>
                    <xdr:col>3</xdr:col>
                    <xdr:colOff>601980</xdr:colOff>
                    <xdr:row>3</xdr:row>
                    <xdr:rowOff>7620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16</vt:i4>
      </vt:variant>
      <vt:variant>
        <vt:lpstr>이름이 지정된 범위</vt:lpstr>
      </vt:variant>
      <vt:variant>
        <vt:i4>5</vt:i4>
      </vt:variant>
    </vt:vector>
  </HeadingPairs>
  <TitlesOfParts>
    <vt:vector size="21" baseType="lpstr">
      <vt:lpstr>매크로란_제목서식</vt:lpstr>
      <vt:lpstr>머리글바닥글정보표시</vt:lpstr>
      <vt:lpstr>수식셀보호</vt:lpstr>
      <vt:lpstr>수식셀보호_적용</vt:lpstr>
      <vt:lpstr>매크로_상대,절대참조</vt:lpstr>
      <vt:lpstr>두줄데이터를한줄로</vt:lpstr>
      <vt:lpstr>두줄데이터를한줄로 (2)</vt:lpstr>
      <vt:lpstr>두줄데이터를한줄로 (3)</vt:lpstr>
      <vt:lpstr>매크로활용</vt:lpstr>
      <vt:lpstr>자동필터_실적검색</vt:lpstr>
      <vt:lpstr>고급필터_실적검색</vt:lpstr>
      <vt:lpstr>고급필터_데이터베이스</vt:lpstr>
      <vt:lpstr>고급필터_검색_유효성검사</vt:lpstr>
      <vt:lpstr>주문목록</vt:lpstr>
      <vt:lpstr>자료목록</vt:lpstr>
      <vt:lpstr>부분합_VBA활용</vt:lpstr>
      <vt:lpstr>고급필터_검색_유효성검사!Criteria</vt:lpstr>
      <vt:lpstr>고급필터_데이터베이스!Criteria</vt:lpstr>
      <vt:lpstr>자동필터_실적검색!Criteria</vt:lpstr>
      <vt:lpstr>주문목록!Criteria</vt:lpstr>
      <vt:lpstr>고급필터_검색_유효성검사!Extract</vt:lpstr>
    </vt:vector>
  </TitlesOfParts>
  <Company>길벗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주문처리현황</dc:title>
  <dc:subject>매크로 연습</dc:subject>
  <dc:creator>이동숙</dc:creator>
  <cp:lastModifiedBy>821030473089</cp:lastModifiedBy>
  <cp:lastPrinted>2019-07-29T01:34:44Z</cp:lastPrinted>
  <dcterms:created xsi:type="dcterms:W3CDTF">2001-05-30T12:13:12Z</dcterms:created>
  <dcterms:modified xsi:type="dcterms:W3CDTF">2019-07-31T02:26:01Z</dcterms:modified>
</cp:coreProperties>
</file>